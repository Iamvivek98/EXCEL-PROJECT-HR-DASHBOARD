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6.xml" ContentType="application/vnd.ms-excel.slicer+xml"/>
  <Override PartName="/xl/charts/chartEx4.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3AA63B04-7C4F-4FD1-903B-A14FEA2C2A88}" xr6:coauthVersionLast="47" xr6:coauthVersionMax="47" xr10:uidLastSave="{00000000-0000-0000-0000-000000000000}"/>
  <bookViews>
    <workbookView xWindow="-108" yWindow="-108" windowWidth="23256" windowHeight="12456" xr2:uid="{5AF5D4AF-D10E-435D-ABA8-B0D0494ED23E}"/>
  </bookViews>
  <sheets>
    <sheet name="DASHBOARD-1" sheetId="6" r:id="rId1"/>
    <sheet name="Data" sheetId="1" r:id="rId2"/>
    <sheet name="kpi" sheetId="7" r:id="rId3"/>
    <sheet name="rating" sheetId="9" r:id="rId4"/>
    <sheet name="employee by gender" sheetId="10" r:id="rId5"/>
    <sheet name="attrition by job role" sheetId="13" r:id="rId6"/>
    <sheet name="education wise attrition" sheetId="12" r:id="rId7"/>
    <sheet name="department wise attrition" sheetId="14" r:id="rId8"/>
    <sheet name="attrition By age group" sheetId="15" r:id="rId9"/>
    <sheet name="attrition by marriage status" sheetId="16" r:id="rId10"/>
  </sheets>
  <definedNames>
    <definedName name="_xlchart.v1.0" hidden="1">'attrition by job role'!$A$4:$A$12</definedName>
    <definedName name="_xlchart.v1.1" hidden="1">'attrition by job role'!$B$4:$B$12</definedName>
    <definedName name="_xlchart.v1.2" hidden="1">'attrition by job role'!$E$4:$E$12</definedName>
    <definedName name="_xlchart.v1.5" hidden="1">'attrition by job role'!$A$4:$A$12</definedName>
    <definedName name="_xlchart.v1.6" hidden="1">'attrition by job role'!$B$4:$B$12</definedName>
    <definedName name="_xlchart.v1.7" hidden="1">'attrition by job role'!$E$4:$E$12</definedName>
    <definedName name="_xlchart.v2.3" hidden="1">'attrition by marriage status'!$D$8:$D$10</definedName>
    <definedName name="_xlchart.v2.4" hidden="1">'attrition by marriage status'!$E$8:$E$10</definedName>
    <definedName name="_xlchart.v2.8" hidden="1">'attrition by marriage status'!$D$8:$D$10</definedName>
    <definedName name="_xlchart.v2.9" hidden="1">'attrition by marriage status'!$E$8:$E$10</definedName>
    <definedName name="Slicer_Department1">#N/A</definedName>
    <definedName name="Slicer_Education_Field1">#N/A</definedName>
    <definedName name="Slicer_Education1">#N/A</definedName>
    <definedName name="Slicer_Gender3">#N/A</definedName>
    <definedName name="Slicer_Marital_Status1">#N/A</definedName>
  </definedNames>
  <calcPr calcId="191029"/>
  <pivotCaches>
    <pivotCache cacheId="1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9" i="16" l="1"/>
  <c r="D10" i="16"/>
  <c r="D8" i="16"/>
  <c r="E10" i="14"/>
  <c r="E9" i="14"/>
  <c r="E8" i="14"/>
  <c r="E12" i="13"/>
  <c r="E11" i="13"/>
  <c r="E9" i="13"/>
  <c r="E10" i="13"/>
  <c r="E8" i="13"/>
  <c r="E6" i="13"/>
  <c r="E5" i="13"/>
  <c r="E4" i="13"/>
  <c r="B6" i="7"/>
  <c r="F12" i="13"/>
  <c r="F9" i="14"/>
  <c r="E6" i="7"/>
  <c r="B12" i="10"/>
  <c r="F9" i="13"/>
  <c r="F8" i="14"/>
  <c r="A6" i="7"/>
  <c r="B11" i="10"/>
  <c r="F11" i="13"/>
  <c r="F10" i="14"/>
  <c r="C6" i="7"/>
  <c r="F4" i="13"/>
  <c r="F7" i="13"/>
  <c r="E10" i="16"/>
  <c r="B8" i="9"/>
  <c r="F8" i="13"/>
  <c r="F10" i="13"/>
  <c r="E9" i="16"/>
  <c r="C8" i="9"/>
  <c r="D6" i="7"/>
  <c r="F5" i="13"/>
  <c r="F6" i="13"/>
  <c r="B9" i="9"/>
  <c r="E8" i="16"/>
  <c r="C11" i="10" l="1"/>
  <c r="C12" i="10"/>
  <c r="C9" i="9"/>
  <c r="G9" i="14"/>
  <c r="G8" i="14"/>
  <c r="G10" i="14"/>
</calcChain>
</file>

<file path=xl/sharedStrings.xml><?xml version="1.0" encoding="utf-8"?>
<sst xmlns="http://schemas.openxmlformats.org/spreadsheetml/2006/main" count="19220" uniqueCount="1573">
  <si>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</si>
  <si>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</si>
  <si>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</si>
  <si>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</si>
  <si>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</si>
  <si>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</si>
  <si>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</si>
  <si>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</si>
  <si>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</si>
  <si>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</si>
  <si>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</si>
  <si>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</si>
  <si>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</si>
  <si>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</si>
  <si>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</si>
  <si>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</si>
  <si>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</si>
  <si>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</si>
  <si>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</si>
  <si>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</si>
  <si>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</si>
  <si>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</si>
  <si>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</si>
  <si>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</si>
  <si>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</si>
  <si>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</si>
  <si>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</si>
  <si>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</si>
  <si>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</si>
  <si>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</si>
  <si>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</si>
  <si>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</si>
  <si>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</si>
  <si>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</si>
  <si>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</si>
  <si>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</si>
  <si>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</si>
  <si>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</si>
  <si>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</si>
  <si>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</si>
  <si>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</si>
  <si>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</si>
  <si>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</si>
  <si>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</si>
  <si>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</si>
  <si>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</si>
  <si>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</si>
  <si>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</si>
  <si>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</si>
  <si>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</si>
  <si>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</si>
  <si>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</si>
  <si>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</si>
  <si>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</si>
  <si>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</si>
  <si>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</si>
  <si>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</si>
  <si>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</si>
  <si>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</si>
  <si>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</si>
  <si>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</si>
  <si>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</si>
  <si>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</si>
  <si>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</si>
  <si>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</si>
  <si>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</si>
  <si>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</si>
  <si>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</si>
  <si>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</si>
  <si>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</si>
  <si>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</si>
  <si>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</si>
  <si>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</si>
  <si>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</si>
  <si>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</si>
  <si>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</si>
  <si>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</si>
  <si>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</si>
  <si>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</si>
  <si>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</si>
  <si>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</si>
  <si>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</si>
  <si>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</si>
  <si>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</si>
  <si>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</si>
  <si>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</si>
  <si>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</si>
  <si>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</si>
  <si>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</si>
  <si>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</si>
  <si>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</si>
  <si>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</si>
  <si>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</si>
  <si>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</si>
  <si>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</si>
  <si>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</si>
  <si>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</si>
  <si>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</si>
  <si>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</si>
  <si>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</si>
  <si>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</si>
  <si>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</si>
  <si>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</si>
  <si>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</si>
  <si>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</si>
  <si>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</si>
  <si>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</si>
  <si>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</si>
  <si>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</si>
  <si>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</si>
  <si>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</si>
  <si>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</si>
  <si>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</si>
  <si>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</si>
  <si>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</si>
  <si>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</si>
  <si>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</si>
  <si>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</si>
  <si>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</si>
  <si>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</si>
  <si>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</si>
  <si>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</si>
  <si>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</si>
  <si>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</si>
  <si>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</si>
  <si>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</si>
  <si>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</si>
  <si>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</si>
  <si>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</si>
  <si>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</si>
  <si>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</si>
  <si>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</si>
  <si>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</si>
  <si>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</si>
  <si>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</si>
  <si>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</si>
  <si>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</si>
  <si>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</si>
  <si>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</si>
  <si>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</si>
  <si>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</si>
  <si>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</si>
  <si>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</si>
  <si>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</si>
  <si>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</si>
  <si>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</si>
  <si>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</si>
  <si>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</si>
  <si>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</si>
  <si>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</si>
  <si>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</si>
  <si>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</si>
  <si>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</si>
  <si>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</si>
  <si>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</si>
  <si>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</si>
  <si>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</si>
  <si>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</si>
  <si>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</si>
  <si>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</si>
  <si>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</si>
  <si>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</si>
  <si>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</si>
  <si>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</si>
  <si>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</si>
  <si>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</si>
  <si>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</si>
  <si>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</si>
  <si>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</si>
  <si>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</si>
  <si>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</si>
  <si>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</si>
  <si>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</si>
  <si>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</si>
  <si>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</si>
  <si>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</si>
  <si>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</si>
  <si>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</si>
  <si>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</si>
  <si>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</si>
  <si>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</si>
  <si>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</si>
  <si>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</si>
  <si>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</si>
  <si>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</si>
  <si>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</si>
  <si>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</si>
  <si>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</si>
  <si>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</si>
  <si>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</si>
  <si>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</si>
  <si>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</si>
  <si>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</si>
  <si>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</si>
  <si>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</si>
  <si>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</si>
  <si>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</si>
  <si>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</si>
  <si>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</si>
  <si>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</si>
  <si>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</si>
  <si>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</si>
  <si>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</si>
  <si>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</si>
  <si>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</si>
  <si>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</si>
  <si>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</si>
  <si>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</si>
  <si>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</si>
  <si>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</si>
  <si>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</si>
  <si>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</si>
  <si>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</si>
  <si>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</si>
  <si>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</si>
  <si>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</si>
  <si>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</si>
  <si>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</si>
  <si>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</si>
  <si>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</si>
  <si>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</si>
  <si>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</si>
  <si>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</si>
  <si>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</si>
  <si>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</si>
  <si>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</si>
  <si>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</si>
  <si>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</si>
  <si>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</si>
  <si>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</si>
  <si>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</si>
  <si>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</si>
  <si>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</si>
  <si>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</si>
  <si>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</si>
  <si>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</si>
  <si>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</si>
  <si>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</si>
  <si>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</si>
  <si>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</si>
  <si>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</si>
  <si>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</si>
  <si>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</si>
  <si>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</si>
  <si>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</si>
  <si>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</si>
  <si>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</si>
  <si>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</si>
  <si>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</si>
  <si>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</si>
  <si>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</si>
  <si>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</si>
  <si>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</si>
  <si>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</si>
  <si>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</si>
  <si>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</si>
  <si>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</si>
  <si>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</si>
  <si>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</si>
  <si>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</si>
  <si>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</si>
  <si>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</si>
  <si>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</si>
  <si>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</si>
  <si>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</si>
  <si>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</si>
  <si>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</si>
  <si>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</si>
  <si>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</si>
  <si>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</si>
  <si>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</si>
  <si>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</si>
  <si>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</si>
  <si>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</si>
  <si>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</si>
  <si>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</si>
  <si>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</si>
  <si>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</si>
  <si>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</si>
  <si>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</si>
  <si>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</si>
  <si>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</si>
  <si>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</si>
  <si>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</si>
  <si>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</si>
  <si>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</si>
  <si>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</si>
  <si>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</si>
  <si>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</si>
  <si>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</si>
  <si>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</si>
  <si>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</si>
  <si>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</si>
  <si>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</si>
  <si>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</si>
  <si>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</si>
  <si>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</si>
  <si>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</si>
  <si>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</si>
  <si>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</si>
  <si>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</si>
  <si>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</si>
  <si>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</si>
  <si>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</si>
  <si>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</si>
  <si>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</si>
  <si>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</si>
  <si>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</si>
  <si>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</si>
  <si>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</si>
  <si>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</si>
  <si>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</si>
  <si>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</si>
  <si>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</si>
  <si>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</si>
  <si>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</si>
  <si>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</si>
  <si>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</si>
  <si>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</si>
  <si>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</si>
  <si>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</si>
  <si>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</si>
  <si>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</si>
  <si>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</si>
  <si>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</si>
  <si>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</si>
  <si>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</si>
  <si>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</si>
  <si>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</si>
  <si>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</si>
  <si>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</si>
  <si>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</si>
  <si>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</si>
  <si>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</si>
  <si>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</si>
  <si>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</si>
  <si>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</si>
  <si>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</si>
  <si>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</si>
  <si>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</si>
  <si>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</si>
  <si>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</si>
  <si>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</si>
  <si>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</si>
  <si>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</si>
  <si>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</si>
  <si>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</si>
  <si>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</si>
  <si>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</si>
  <si>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</si>
  <si>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</si>
  <si>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</si>
  <si>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</si>
  <si>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</si>
  <si>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</si>
  <si>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</si>
  <si>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</si>
  <si>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</si>
  <si>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</si>
  <si>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</si>
  <si>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</si>
  <si>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</si>
  <si>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</si>
  <si>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</si>
  <si>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</si>
  <si>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</si>
  <si>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</si>
  <si>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</si>
  <si>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</si>
  <si>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</si>
  <si>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</si>
  <si>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</si>
  <si>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</si>
  <si>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</si>
  <si>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</si>
  <si>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</si>
  <si>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</si>
  <si>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</si>
  <si>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</si>
  <si>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</si>
  <si>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</si>
  <si>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</si>
  <si>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</si>
  <si>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</si>
  <si>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</si>
  <si>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</si>
  <si>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</si>
  <si>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</si>
  <si>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</si>
  <si>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</si>
  <si>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</si>
  <si>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</si>
  <si>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</si>
  <si>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</si>
  <si>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</si>
  <si>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</si>
  <si>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</si>
  <si>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</si>
  <si>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</si>
  <si>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</si>
  <si>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</si>
  <si>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</si>
  <si>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</si>
  <si>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</si>
  <si>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</si>
  <si>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</si>
  <si>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</si>
  <si>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</si>
  <si>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</si>
  <si>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</si>
  <si>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</si>
  <si>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</si>
  <si>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</si>
  <si>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</si>
  <si>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</si>
  <si>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</si>
  <si>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</si>
  <si>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</si>
  <si>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</si>
  <si>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</si>
  <si>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</si>
  <si>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</si>
  <si>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</si>
  <si>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</si>
  <si>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</si>
  <si>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</si>
  <si>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</si>
  <si>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</si>
  <si>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</si>
  <si>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</si>
  <si>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</si>
  <si>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</si>
  <si>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</si>
  <si>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</si>
  <si>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</si>
  <si>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</si>
  <si>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</si>
  <si>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</si>
  <si>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</si>
  <si>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</si>
  <si>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</si>
  <si>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</si>
  <si>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</si>
  <si>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</si>
  <si>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</si>
  <si>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</si>
  <si>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</si>
  <si>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</si>
  <si>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</si>
  <si>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</si>
  <si>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</si>
  <si>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</si>
  <si>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</si>
  <si>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</si>
  <si>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</si>
  <si>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</si>
  <si>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</si>
  <si>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</si>
  <si>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</si>
  <si>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</si>
  <si>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</si>
  <si>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</si>
  <si>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</si>
  <si>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</si>
  <si>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</si>
  <si>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</si>
  <si>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</si>
  <si>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</si>
  <si>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</si>
  <si>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</si>
  <si>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</si>
  <si>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</si>
  <si>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</si>
  <si>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</si>
  <si>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</si>
  <si>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</si>
  <si>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</si>
  <si>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</si>
  <si>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</si>
  <si>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</si>
  <si>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</si>
  <si>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</si>
  <si>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</si>
  <si>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</si>
  <si>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</si>
  <si>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</si>
  <si>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</si>
  <si>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</si>
  <si>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</si>
  <si>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</si>
  <si>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</si>
  <si>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</si>
  <si>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</si>
  <si>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</si>
  <si>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</si>
  <si>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</si>
  <si>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</si>
  <si>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</si>
  <si>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</si>
  <si>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</si>
  <si>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</si>
  <si>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</si>
  <si>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</si>
  <si>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</si>
  <si>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</si>
  <si>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</si>
  <si>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</si>
  <si>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</si>
  <si>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</si>
  <si>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</si>
  <si>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</si>
  <si>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</si>
  <si>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</si>
  <si>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</si>
  <si>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</si>
  <si>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</si>
  <si>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</si>
  <si>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</si>
  <si>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</si>
  <si>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</si>
  <si>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</si>
  <si>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</si>
  <si>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</si>
  <si>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</si>
  <si>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</si>
  <si>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</si>
  <si>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</si>
  <si>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</si>
  <si>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</si>
  <si>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</si>
  <si>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</si>
  <si>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</si>
  <si>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</si>
  <si>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</si>
  <si>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</si>
  <si>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</si>
  <si>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</si>
  <si>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</si>
  <si>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</si>
  <si>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</si>
  <si>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</si>
  <si>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</si>
  <si>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</si>
  <si>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</si>
  <si>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</si>
  <si>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</si>
  <si>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</si>
  <si>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</si>
  <si>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</si>
  <si>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</si>
  <si>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</si>
  <si>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</si>
  <si>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</si>
  <si>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</si>
  <si>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</si>
  <si>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</si>
  <si>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</si>
  <si>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</si>
  <si>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</si>
  <si>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</si>
  <si>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</si>
  <si>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</si>
  <si>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</si>
  <si>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</si>
  <si>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</si>
  <si>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</si>
  <si>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</si>
  <si>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</si>
  <si>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</si>
  <si>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</si>
  <si>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</si>
  <si>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</si>
  <si>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</si>
  <si>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</si>
  <si>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</si>
  <si>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</si>
  <si>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</si>
  <si>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</si>
  <si>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</si>
  <si>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</si>
  <si>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</si>
  <si>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</si>
  <si>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</si>
  <si>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</si>
  <si>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</si>
  <si>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</si>
  <si>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</si>
  <si>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</si>
  <si>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</si>
  <si>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</si>
  <si>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</si>
  <si>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</si>
  <si>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</si>
  <si>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</si>
  <si>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</si>
  <si>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</si>
  <si>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</si>
  <si>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</si>
  <si>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</si>
  <si>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</si>
  <si>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</si>
  <si>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</si>
  <si>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</si>
  <si>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</si>
  <si>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</si>
  <si>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</si>
  <si>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</si>
  <si>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</si>
  <si>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</si>
  <si>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</si>
  <si>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</si>
  <si>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</si>
  <si>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</si>
  <si>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</si>
  <si>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</si>
  <si>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</si>
  <si>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</si>
  <si>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</si>
  <si>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</si>
  <si>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</si>
  <si>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</si>
  <si>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</si>
  <si>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</si>
  <si>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</si>
  <si>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</si>
  <si>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</si>
  <si>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</si>
  <si>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</si>
  <si>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</si>
  <si>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</si>
  <si>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</si>
  <si>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</si>
  <si>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</si>
  <si>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</si>
  <si>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</si>
  <si>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</si>
  <si>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</si>
  <si>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</si>
  <si>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</si>
  <si>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</si>
  <si>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</si>
  <si>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</si>
  <si>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</si>
  <si>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</si>
  <si>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</si>
  <si>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</si>
  <si>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</si>
  <si>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</si>
  <si>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</si>
  <si>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</si>
  <si>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</si>
  <si>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</si>
  <si>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</si>
  <si>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</si>
  <si>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</si>
  <si>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</si>
  <si>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</si>
  <si>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</si>
  <si>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</si>
  <si>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</si>
  <si>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</si>
  <si>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</si>
  <si>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</si>
  <si>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</si>
  <si>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</si>
  <si>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</si>
  <si>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</si>
  <si>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</si>
  <si>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</si>
  <si>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</si>
  <si>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</si>
  <si>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</si>
  <si>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</si>
  <si>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</si>
  <si>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</si>
  <si>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</si>
  <si>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</si>
  <si>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</si>
  <si>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</si>
  <si>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</si>
  <si>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</si>
  <si>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</si>
  <si>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</si>
  <si>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</si>
  <si>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</si>
  <si>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</si>
  <si>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</si>
  <si>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</si>
  <si>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</si>
  <si>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</si>
  <si>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</si>
  <si>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</si>
  <si>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</si>
  <si>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</si>
  <si>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</si>
  <si>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</si>
  <si>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</si>
  <si>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</si>
  <si>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</si>
  <si>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</si>
  <si>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</si>
  <si>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</si>
  <si>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</si>
  <si>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</si>
  <si>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</si>
  <si>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</si>
  <si>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</si>
  <si>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</si>
  <si>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</si>
  <si>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</si>
  <si>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</si>
  <si>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</si>
  <si>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</si>
  <si>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</si>
  <si>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</si>
  <si>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</si>
  <si>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</si>
  <si>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</si>
  <si>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</si>
  <si>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</si>
  <si>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</si>
  <si>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</si>
  <si>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</si>
  <si>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</si>
  <si>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</si>
  <si>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</si>
  <si>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</si>
  <si>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</si>
  <si>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</si>
  <si>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</si>
  <si>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</si>
  <si>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</si>
  <si>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</si>
  <si>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</si>
  <si>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</si>
  <si>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</si>
  <si>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</si>
  <si>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</si>
  <si>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</si>
  <si>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</si>
  <si>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</si>
  <si>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</si>
  <si>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</si>
  <si>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</si>
  <si>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</si>
  <si>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</si>
  <si>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</si>
  <si>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</si>
  <si>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</si>
  <si>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</si>
  <si>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</si>
  <si>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</si>
  <si>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</si>
  <si>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</si>
  <si>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</si>
  <si>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</si>
  <si>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</si>
  <si>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</si>
  <si>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</si>
  <si>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</si>
  <si>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</si>
  <si>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</si>
  <si>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</si>
  <si>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</si>
  <si>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</si>
  <si>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</si>
  <si>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</si>
  <si>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</si>
  <si>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</si>
  <si>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</si>
  <si>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</si>
  <si>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</si>
  <si>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</si>
  <si>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</si>
  <si>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</si>
  <si>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</si>
  <si>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</si>
  <si>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</si>
  <si>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</si>
  <si>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</si>
  <si>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</si>
  <si>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</si>
  <si>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</si>
  <si>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</si>
  <si>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</si>
  <si>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</si>
  <si>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</si>
  <si>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</si>
  <si>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</si>
  <si>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</si>
  <si>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</si>
  <si>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</si>
  <si>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</si>
  <si>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</si>
  <si>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</si>
  <si>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</si>
  <si>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</si>
  <si>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</si>
  <si>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</si>
  <si>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</si>
  <si>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</si>
  <si>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</si>
  <si>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</si>
  <si>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</si>
  <si>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</si>
  <si>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</si>
  <si>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</si>
  <si>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</si>
  <si>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</si>
  <si>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</si>
  <si>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</si>
  <si>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</si>
  <si>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</si>
  <si>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</si>
  <si>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</si>
  <si>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</si>
  <si>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</si>
  <si>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</si>
  <si>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</si>
  <si>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</si>
  <si>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</si>
  <si>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</si>
  <si>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</si>
  <si>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</si>
  <si>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</si>
  <si>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</si>
  <si>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</si>
  <si>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</si>
  <si>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</si>
  <si>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</si>
  <si>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</si>
  <si>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</si>
  <si>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</si>
  <si>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</si>
  <si>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</si>
  <si>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</si>
  <si>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</si>
  <si>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</si>
  <si>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</si>
  <si>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</si>
  <si>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</si>
  <si>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</si>
  <si>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</si>
  <si>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</si>
  <si>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</si>
  <si>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</si>
  <si>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</si>
  <si>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</si>
  <si>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</si>
  <si>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</si>
  <si>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</si>
  <si>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</si>
  <si>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</si>
  <si>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</si>
  <si>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</si>
  <si>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</si>
  <si>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</si>
  <si>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</si>
  <si>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</si>
  <si>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</si>
  <si>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</si>
  <si>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</si>
  <si>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</si>
  <si>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</si>
  <si>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</si>
  <si>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</si>
  <si>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</si>
  <si>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</si>
  <si>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</si>
  <si>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</si>
  <si>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</si>
  <si>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</si>
  <si>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</si>
  <si>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</si>
  <si>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</si>
  <si>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</si>
  <si>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</si>
  <si>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</si>
  <si>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</si>
  <si>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</si>
  <si>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</si>
  <si>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</si>
  <si>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</si>
  <si>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</si>
  <si>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</si>
  <si>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</si>
  <si>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</si>
  <si>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</si>
  <si>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</si>
  <si>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</si>
  <si>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</si>
  <si>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</si>
  <si>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</si>
  <si>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</si>
  <si>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</si>
  <si>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</si>
  <si>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</si>
  <si>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</si>
  <si>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</si>
  <si>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</si>
  <si>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</si>
  <si>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</si>
  <si>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</si>
  <si>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</si>
  <si>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</si>
  <si>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</si>
  <si>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</si>
  <si>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</si>
  <si>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</si>
  <si>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</si>
  <si>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</si>
  <si>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</si>
  <si>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</si>
  <si>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</si>
  <si>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</si>
  <si>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</si>
  <si>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</si>
  <si>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</si>
  <si>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</si>
  <si>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</si>
  <si>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</si>
  <si>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</si>
  <si>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</si>
  <si>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</si>
  <si>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</si>
  <si>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</si>
  <si>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</si>
  <si>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</si>
  <si>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</si>
  <si>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</si>
  <si>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</si>
  <si>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</si>
  <si>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</si>
  <si>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</si>
  <si>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</si>
  <si>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</si>
  <si>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</si>
  <si>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</si>
  <si>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</si>
  <si>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</si>
  <si>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</si>
  <si>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</si>
  <si>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</si>
  <si>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</si>
  <si>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</si>
  <si>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</si>
  <si>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</si>
  <si>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</si>
  <si>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</si>
  <si>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</si>
  <si>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</si>
  <si>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</si>
  <si>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</si>
  <si>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</si>
  <si>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</si>
  <si>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</si>
  <si>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</si>
  <si>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</si>
  <si>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</si>
  <si>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</si>
  <si>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</si>
  <si>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</si>
  <si>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</si>
  <si>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</si>
  <si>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</si>
  <si>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</si>
  <si>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</si>
  <si>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</si>
  <si>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</si>
  <si>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</si>
  <si>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</si>
  <si>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</si>
  <si>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</si>
  <si>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</si>
  <si>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</si>
  <si>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</si>
  <si>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</si>
  <si>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</si>
  <si>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</si>
  <si>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</si>
  <si>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</si>
  <si>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</si>
  <si>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</si>
  <si>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</si>
  <si>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</si>
  <si>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</si>
  <si>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</si>
  <si>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</si>
  <si>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</si>
  <si>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</si>
  <si>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</si>
  <si>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</si>
  <si>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</si>
  <si>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</si>
  <si>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</si>
  <si>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</si>
  <si>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</si>
  <si>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</si>
  <si>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</si>
  <si>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</si>
  <si>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</si>
  <si>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</si>
  <si>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</si>
  <si>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</si>
  <si>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</si>
  <si>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</si>
  <si>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</si>
  <si>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</si>
  <si>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</si>
  <si>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</si>
  <si>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</si>
  <si>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</si>
  <si>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</si>
  <si>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</si>
  <si>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</si>
  <si>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</si>
  <si>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</si>
  <si>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</si>
  <si>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</si>
  <si>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</si>
  <si>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</si>
  <si>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</si>
  <si>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</si>
  <si>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</si>
  <si>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</si>
  <si>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</si>
  <si>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</si>
  <si>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</si>
  <si>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</si>
  <si>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</si>
  <si>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</si>
  <si>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</si>
  <si>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</si>
  <si>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</si>
  <si>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</si>
  <si>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</si>
  <si>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</si>
  <si>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</si>
  <si>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</si>
  <si>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</si>
  <si>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</si>
  <si>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</si>
  <si>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</si>
  <si>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</si>
  <si>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</si>
  <si>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</si>
  <si>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</si>
  <si>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</si>
  <si>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</si>
  <si>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</si>
  <si>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</si>
  <si>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</si>
  <si>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</si>
  <si>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</si>
  <si>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</si>
  <si>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</si>
  <si>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</si>
  <si>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</si>
  <si>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</si>
  <si>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</si>
  <si>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</si>
  <si>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</si>
  <si>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</si>
  <si>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</si>
  <si>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</si>
  <si>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</si>
  <si>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</si>
  <si>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</si>
  <si>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</si>
  <si>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</si>
  <si>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</si>
  <si>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</si>
  <si>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</si>
  <si>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</si>
  <si>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</si>
  <si>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</si>
  <si>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</si>
  <si>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</si>
  <si>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</si>
  <si>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</si>
  <si>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</si>
  <si>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</si>
  <si>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</si>
  <si>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</si>
  <si>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</si>
  <si>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</si>
  <si>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</si>
  <si>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</si>
  <si>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</si>
  <si>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</si>
  <si>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</si>
  <si>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</si>
  <si>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</si>
  <si>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</si>
  <si>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</si>
  <si>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</si>
  <si>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</si>
  <si>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</si>
  <si>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</si>
  <si>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</si>
  <si>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</si>
  <si>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</si>
  <si>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</si>
  <si>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</si>
  <si>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</si>
  <si>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</si>
  <si>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</si>
  <si>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</si>
  <si>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</si>
  <si>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</si>
  <si>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</si>
  <si>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</si>
  <si>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</si>
  <si>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</si>
  <si>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</si>
  <si>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</si>
  <si>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</si>
  <si>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</si>
  <si>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</si>
  <si>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</si>
  <si>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</si>
  <si>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</si>
  <si>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</si>
  <si>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</si>
  <si>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</si>
  <si>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</si>
  <si>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</si>
  <si>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</si>
  <si>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</si>
  <si>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</si>
  <si>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</si>
  <si>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</si>
  <si>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</si>
  <si>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</si>
  <si>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</si>
  <si>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</si>
  <si>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</si>
  <si>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</si>
  <si>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</si>
  <si>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</si>
  <si>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</si>
  <si>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</si>
  <si>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</si>
  <si>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</si>
  <si>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</si>
  <si>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</si>
  <si>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</si>
  <si>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</si>
  <si>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</si>
  <si>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</si>
  <si>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</si>
  <si>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</si>
  <si>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</si>
  <si>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</si>
  <si>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</si>
  <si>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</si>
  <si>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</si>
  <si>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</si>
  <si>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</si>
  <si>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</si>
  <si>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</si>
  <si>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</si>
  <si>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</si>
  <si>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</si>
  <si>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</si>
  <si>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</si>
  <si>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</si>
  <si>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</si>
  <si>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</si>
  <si>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</si>
  <si>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</si>
  <si>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</si>
  <si>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</si>
  <si>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</si>
  <si>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</si>
  <si>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</si>
  <si>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</si>
  <si>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</si>
  <si>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</si>
  <si>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</si>
  <si>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</si>
  <si>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</si>
  <si>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</si>
  <si>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</si>
  <si>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</si>
  <si>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</si>
  <si>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</si>
  <si>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</si>
  <si>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</si>
  <si>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</si>
  <si>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</si>
  <si>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</si>
  <si>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</si>
  <si>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</si>
  <si>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</si>
  <si>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</si>
  <si>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</si>
  <si>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</si>
  <si>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</si>
  <si>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</si>
  <si>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</si>
  <si>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</si>
  <si>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</si>
  <si>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</si>
  <si>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</si>
  <si>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</si>
  <si>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</si>
  <si>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</si>
  <si>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</si>
  <si>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</si>
  <si>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</si>
  <si>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</si>
  <si>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</si>
  <si>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</si>
  <si>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</si>
  <si>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</si>
  <si>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</si>
  <si>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</si>
  <si>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</si>
  <si>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</si>
  <si>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</si>
  <si>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</si>
  <si>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</si>
  <si>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</si>
  <si>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</si>
  <si>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</si>
  <si>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</si>
  <si>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</si>
  <si>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</si>
  <si>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</si>
  <si>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</si>
  <si>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</si>
  <si>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</si>
  <si>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</si>
  <si>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</si>
  <si>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</si>
  <si>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</si>
  <si>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</si>
  <si>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</si>
  <si>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</si>
  <si>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</si>
  <si>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</si>
  <si>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</si>
  <si>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</si>
  <si>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</si>
  <si>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</si>
  <si>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</si>
  <si>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</si>
  <si>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</si>
  <si>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</si>
  <si>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</si>
  <si>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</si>
  <si>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</si>
  <si>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</si>
  <si>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</si>
  <si>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</si>
  <si>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</si>
  <si>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</si>
  <si>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</si>
  <si>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</si>
  <si>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</si>
  <si>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</si>
  <si>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</si>
  <si>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</si>
  <si>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</si>
  <si>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</si>
  <si>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</si>
  <si>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</si>
  <si>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</si>
  <si>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</si>
  <si>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</si>
  <si>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</si>
  <si>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</si>
  <si>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</si>
  <si>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</si>
  <si>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</si>
  <si>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</si>
  <si>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</si>
  <si>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</si>
  <si>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</si>
  <si>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</si>
  <si>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</si>
  <si>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</si>
  <si>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</si>
  <si>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</si>
  <si>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</si>
  <si>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</si>
  <si>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</si>
  <si>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</si>
  <si>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</si>
  <si>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</si>
  <si>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</si>
  <si>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</si>
  <si>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</si>
  <si>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</si>
  <si>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</si>
  <si>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</si>
  <si>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</si>
  <si>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</si>
  <si>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</si>
  <si>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</si>
  <si>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</si>
  <si>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</si>
  <si>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</si>
  <si>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</si>
  <si>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</si>
  <si>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</si>
  <si>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</si>
  <si>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</si>
  <si>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</si>
  <si>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</si>
  <si>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</si>
  <si>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</si>
  <si>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</si>
  <si>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</si>
  <si>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</si>
  <si>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</si>
  <si>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</si>
  <si>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</si>
  <si>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</si>
  <si>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</si>
  <si>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</si>
  <si>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</si>
  <si>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</si>
  <si>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</si>
  <si>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</si>
  <si>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</si>
  <si>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</si>
  <si>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</si>
  <si>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</si>
  <si>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</si>
  <si>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</si>
  <si>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</si>
  <si>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</si>
  <si>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</si>
  <si>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</si>
  <si>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</si>
  <si>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</si>
  <si>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</si>
  <si>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</si>
  <si>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</si>
  <si>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</si>
  <si>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</si>
  <si>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</si>
  <si>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</si>
  <si>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</si>
  <si>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</si>
  <si>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</si>
  <si>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</si>
  <si>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</si>
  <si>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</si>
  <si>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</si>
  <si>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</si>
  <si>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</si>
  <si>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</si>
  <si>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</si>
  <si>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</si>
  <si>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</si>
  <si>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</si>
  <si>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</si>
  <si>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</si>
  <si>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</si>
  <si>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</si>
  <si>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</si>
  <si>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</si>
  <si>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</si>
  <si>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</si>
  <si>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</si>
  <si>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</si>
  <si>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</si>
  <si>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</si>
  <si>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</si>
  <si>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</si>
  <si>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</si>
  <si>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</si>
  <si>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</si>
  <si>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</si>
  <si>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</si>
  <si>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</si>
  <si>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</si>
  <si>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</si>
  <si>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</si>
  <si>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</si>
  <si>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</si>
  <si>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</si>
  <si>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</si>
  <si>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</si>
  <si>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</si>
  <si>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</si>
  <si>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</si>
  <si>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</si>
  <si>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</si>
  <si>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</si>
  <si>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</si>
  <si>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</si>
  <si>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</si>
  <si>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</si>
  <si>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</si>
  <si>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</si>
  <si>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</si>
  <si>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</si>
  <si>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</si>
  <si>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</si>
  <si>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</si>
  <si>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</si>
  <si>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</si>
  <si>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</si>
  <si>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</si>
  <si>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</si>
  <si>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</si>
  <si>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</si>
  <si>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</si>
  <si>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</si>
  <si>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</si>
  <si>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</si>
  <si>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</si>
  <si>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</si>
  <si>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</si>
  <si>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</si>
  <si>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</si>
  <si>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</si>
  <si>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</si>
  <si>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</si>
  <si>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</si>
  <si>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</si>
  <si>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</si>
  <si>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</si>
  <si>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</si>
  <si>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</si>
  <si>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</si>
  <si>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</si>
  <si>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</si>
  <si>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</si>
  <si>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</si>
  <si>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</si>
  <si>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</si>
  <si>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</si>
  <si>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</si>
  <si>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</si>
  <si>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</si>
  <si>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</si>
  <si>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</si>
  <si>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</si>
  <si>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</si>
  <si>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</si>
  <si>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</si>
  <si>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</si>
  <si>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</si>
  <si>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</si>
  <si>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</si>
  <si>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</si>
  <si>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</si>
  <si>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</si>
  <si>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</si>
  <si>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</si>
  <si>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</si>
  <si>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</si>
  <si>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</si>
  <si>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</si>
  <si>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</si>
  <si>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</si>
  <si>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</si>
  <si>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</si>
  <si>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</si>
  <si>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</si>
  <si>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</si>
  <si>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</si>
  <si>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</si>
  <si>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</si>
  <si>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</si>
  <si>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</si>
  <si>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</si>
  <si>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</si>
  <si>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</si>
  <si>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</si>
  <si>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</si>
  <si>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</si>
  <si>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</si>
  <si>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</si>
  <si>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</si>
  <si>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</si>
  <si>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</si>
  <si>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</si>
  <si>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</si>
  <si>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</si>
  <si>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</si>
  <si>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</si>
  <si>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</si>
  <si>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</si>
  <si>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</si>
  <si>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</si>
  <si>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</si>
  <si>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</si>
  <si>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</si>
  <si>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</si>
  <si>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</si>
  <si>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</si>
  <si>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</si>
  <si>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</si>
  <si>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</si>
  <si>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</si>
  <si>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</si>
  <si>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</si>
  <si>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</si>
  <si>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</si>
  <si>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</si>
  <si>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</si>
  <si>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</si>
  <si>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</si>
  <si>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</si>
  <si>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</si>
  <si>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</si>
  <si>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</si>
  <si>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</si>
  <si>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</si>
  <si>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</si>
  <si>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</si>
  <si>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</si>
  <si>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</si>
  <si>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</si>
  <si>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</si>
  <si>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</si>
  <si>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</si>
  <si>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</si>
  <si>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</si>
  <si>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</si>
  <si>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</si>
  <si>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</si>
  <si>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</si>
  <si>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</si>
  <si>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</si>
  <si>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</si>
  <si>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</si>
  <si>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</si>
  <si>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</si>
  <si>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</si>
  <si>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</si>
  <si>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</si>
  <si>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</si>
  <si>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</si>
  <si>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</si>
  <si>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</si>
  <si>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</si>
  <si>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</si>
  <si>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</si>
  <si>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</si>
  <si>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</si>
  <si>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</si>
  <si>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</si>
  <si>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</si>
  <si>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</si>
  <si>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</si>
  <si>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</si>
  <si>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</si>
  <si>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</si>
  <si>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</si>
  <si>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</si>
  <si>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</si>
  <si>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Average Age</t>
  </si>
  <si>
    <t>Active Employees</t>
  </si>
  <si>
    <t>Attrition Rate</t>
  </si>
  <si>
    <t>Average of Job Satisfaction</t>
  </si>
  <si>
    <t>Rating</t>
  </si>
  <si>
    <t>Remaining Rating</t>
  </si>
  <si>
    <t>Row Labels</t>
  </si>
  <si>
    <t>Grand Total</t>
  </si>
  <si>
    <t>Count of CF_attrition count</t>
  </si>
  <si>
    <t>Count of emp no</t>
  </si>
  <si>
    <t>Attrition count</t>
  </si>
  <si>
    <t>JOB ROLE</t>
  </si>
  <si>
    <t>DEPARTMENT</t>
  </si>
  <si>
    <t>ATTRITION</t>
  </si>
  <si>
    <t>ATTRITION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</si>
</sst>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color theme="1"/>
      <name val="Calibri"/>
      <family val="2"/>
      <scheme val="minor"/>
    </font>
    <font>
      <sz val="12"/>
      <color theme="1"/>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applyNumberFormat="1"/>
    <xf numFmtId="10"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right"/>
    </xf>
    <xf numFmtId="10" fontId="0" fillId="0" borderId="0" xfId="0" applyNumberFormat="1"/>
    <xf numFmtId="0" fontId="2" fillId="0" borderId="0" xfId="0" applyFont="1" applyAlignment="1">
      <alignment horizontal="left"/>
    </xf>
    <xf numFmtId="9" fontId="0" fillId="0" borderId="0" xfId="0" applyNumberFormat="1"/>
  </cellXfs>
  <cellStyles count="2">
    <cellStyle name="Normal" xfId="0" builtinId="0"/>
    <cellStyle name="Per cent" xfId="1" builtinId="5"/>
  </cellStyles>
  <dxfs count="12">
    <dxf>
      <numFmt numFmtId="164" formatCode="0.0"/>
    </dxf>
    <dxf>
      <font>
        <sz val="14"/>
      </font>
    </dxf>
    <dxf>
      <numFmt numFmtId="164" formatCode="0.0"/>
    </dxf>
    <dxf>
      <font>
        <sz val="14"/>
      </font>
    </dxf>
    <dxf>
      <numFmt numFmtId="164" formatCode="0.0"/>
    </dxf>
    <dxf>
      <font>
        <sz val="14"/>
      </font>
    </dxf>
    <dxf>
      <numFmt numFmtId="164" formatCode="0.0"/>
    </dxf>
    <dxf>
      <font>
        <sz val="14"/>
      </font>
    </dxf>
    <dxf>
      <numFmt numFmtId="164" formatCode="0.0"/>
    </dxf>
    <dxf>
      <font>
        <sz val="14"/>
      </font>
    </dxf>
    <dxf>
      <font>
        <sz val="14"/>
      </font>
    </dxf>
    <dxf>
      <numFmt numFmtId="164" formatCode="0.0"/>
    </dxf>
  </dxfs>
  <tableStyles count="0" defaultTableStyle="TableStyleMedium2" defaultPivotStyle="PivotStyleLight16"/>
  <colors>
    <mruColors>
      <color rgb="FFB7FBCC"/>
      <color rgb="FFAF21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3" Type="http://schemas.openxmlformats.org/officeDocument/2006/relationships/image" Target="../media/image4.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4.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4.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4.jpeg"/><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3" Type="http://schemas.microsoft.com/office/2011/relationships/chartColorStyle" Target="colors8.xml"/><Relationship Id="rId2" Type="http://schemas.microsoft.com/office/2011/relationships/chartStyle" Target="style8.xml"/><Relationship Id="rId1" Type="http://schemas.openxmlformats.org/officeDocument/2006/relationships/image" Target="../media/image4.jpeg"/></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3749735917427"/>
          <c:y val="0"/>
          <c:w val="0.77871316998805085"/>
          <c:h val="1"/>
        </c:manualLayout>
      </c:layout>
      <c:doughnutChart>
        <c:varyColors val="1"/>
        <c:ser>
          <c:idx val="0"/>
          <c:order val="0"/>
          <c:spPr>
            <a:ln>
              <a:gradFill>
                <a:gsLst>
                  <a:gs pos="83000">
                    <a:schemeClr val="accent1">
                      <a:lumMod val="45000"/>
                      <a:lumOff val="55000"/>
                    </a:schemeClr>
                  </a:gs>
                  <a:gs pos="100000">
                    <a:schemeClr val="accent1">
                      <a:lumMod val="30000"/>
                      <a:lumOff val="70000"/>
                    </a:schemeClr>
                  </a:gs>
                </a:gsLst>
                <a:lin ang="5400000" scaled="1"/>
              </a:gradFill>
            </a:ln>
          </c:spPr>
          <c:dPt>
            <c:idx val="0"/>
            <c:bubble3D val="0"/>
            <c:spPr>
              <a:gradFill>
                <a:gsLst>
                  <a:gs pos="100000">
                    <a:srgbClr val="92D050"/>
                  </a:gs>
                  <a:gs pos="0">
                    <a:schemeClr val="accent5">
                      <a:lumMod val="75000"/>
                    </a:schemeClr>
                  </a:gs>
                  <a:gs pos="100000">
                    <a:schemeClr val="accent1">
                      <a:lumMod val="30000"/>
                      <a:lumOff val="70000"/>
                    </a:schemeClr>
                  </a:gs>
                </a:gsLst>
                <a:lin ang="4800000" scaled="0"/>
              </a:gradFill>
              <a:ln w="19050">
                <a:noFill/>
              </a:ln>
              <a:effectLst/>
            </c:spPr>
            <c:extLst>
              <c:ext xmlns:c16="http://schemas.microsoft.com/office/drawing/2014/chart" uri="{C3380CC4-5D6E-409C-BE32-E72D297353CC}">
                <c16:uniqueId val="{00000001-CA00-4D47-AD75-1DFD8946F196}"/>
              </c:ext>
            </c:extLst>
          </c:dPt>
          <c:dPt>
            <c:idx val="1"/>
            <c:bubble3D val="0"/>
            <c:spPr>
              <a:solidFill>
                <a:schemeClr val="bg1">
                  <a:lumMod val="75000"/>
                </a:schemeClr>
              </a:solidFill>
              <a:ln w="19050">
                <a:gradFill>
                  <a:gsLst>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CA00-4D47-AD75-1DFD8946F196}"/>
              </c:ext>
            </c:extLst>
          </c:dPt>
          <c:val>
            <c:numRef>
              <c:f>rating!$C$8:$C$9</c:f>
              <c:numCache>
                <c:formatCode>0.00%</c:formatCode>
                <c:ptCount val="2"/>
                <c:pt idx="0">
                  <c:v>0.65663265306122454</c:v>
                </c:pt>
                <c:pt idx="1">
                  <c:v>0.34336734693877546</c:v>
                </c:pt>
              </c:numCache>
            </c:numRef>
          </c:val>
          <c:extLst>
            <c:ext xmlns:c16="http://schemas.microsoft.com/office/drawing/2014/chart" uri="{C3380CC4-5D6E-409C-BE32-E72D297353CC}">
              <c16:uniqueId val="{00000004-CA00-4D47-AD75-1DFD8946F19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rgbClr val="002060"/>
                </a:solidFill>
                <a:latin typeface="+mn-lt"/>
                <a:ea typeface="+mn-ea"/>
                <a:cs typeface="+mn-cs"/>
              </a:defRPr>
            </a:pPr>
            <a:r>
              <a:rPr lang="en-IN" sz="2000">
                <a:solidFill>
                  <a:srgbClr val="002060"/>
                </a:solidFill>
                <a:latin typeface="Algerian" panose="04020705040A02060702" pitchFamily="82" charset="0"/>
              </a:rPr>
              <a:t>Male</a:t>
            </a:r>
          </a:p>
        </c:rich>
      </c:tx>
      <c:layout>
        <c:manualLayout>
          <c:xMode val="edge"/>
          <c:yMode val="edge"/>
          <c:x val="0.26694398796550506"/>
          <c:y val="0"/>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rgbClr val="002060"/>
              </a:solidFill>
              <a:latin typeface="+mn-lt"/>
              <a:ea typeface="+mn-ea"/>
              <a:cs typeface="+mn-cs"/>
            </a:defRPr>
          </a:pPr>
          <a:endParaRPr lang="en-US"/>
        </a:p>
      </c:txPr>
    </c:title>
    <c:autoTitleDeleted val="0"/>
    <c:plotArea>
      <c:layout>
        <c:manualLayout>
          <c:layoutTarget val="inner"/>
          <c:xMode val="edge"/>
          <c:yMode val="edge"/>
          <c:x val="0.15752790882756726"/>
          <c:y val="0.22916255811628936"/>
          <c:w val="0.72498346337623298"/>
          <c:h val="0.77083744188371073"/>
        </c:manualLayout>
      </c:layout>
      <c:doughnutChart>
        <c:varyColors val="1"/>
        <c:ser>
          <c:idx val="0"/>
          <c:order val="0"/>
          <c:spPr>
            <a:solidFill>
              <a:schemeClr val="bg1">
                <a:lumMod val="85000"/>
              </a:schemeClr>
            </a:solidFill>
          </c:spPr>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BCFD-4FAB-89FE-3DF77C5A0B49}"/>
              </c:ext>
            </c:extLst>
          </c:dPt>
          <c:dPt>
            <c:idx val="1"/>
            <c:bubble3D val="0"/>
            <c:spPr>
              <a:gradFill>
                <a:gsLst>
                  <a:gs pos="91500">
                    <a:srgbClr val="7030A0"/>
                  </a:gs>
                  <a:gs pos="2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BCFD-4FAB-89FE-3DF77C5A0B49}"/>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BCFD-4FAB-89FE-3DF77C5A0B4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2060"/>
                </a:solidFill>
                <a:latin typeface="+mn-lt"/>
                <a:ea typeface="+mn-ea"/>
                <a:cs typeface="+mn-cs"/>
              </a:defRPr>
            </a:pPr>
            <a:r>
              <a:rPr lang="en-IN" sz="1800">
                <a:solidFill>
                  <a:srgbClr val="002060"/>
                </a:solidFill>
                <a:latin typeface="Algerian" panose="04020705040A02060702" pitchFamily="82" charset="0"/>
              </a:rPr>
              <a:t>FEMALE</a:t>
            </a:r>
          </a:p>
        </c:rich>
      </c:tx>
      <c:layout>
        <c:manualLayout>
          <c:xMode val="edge"/>
          <c:yMode val="edge"/>
          <c:x val="0.20464053192103351"/>
          <c:y val="0"/>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002060"/>
              </a:solidFill>
              <a:latin typeface="+mn-lt"/>
              <a:ea typeface="+mn-ea"/>
              <a:cs typeface="+mn-cs"/>
            </a:defRPr>
          </a:pPr>
          <a:endParaRPr lang="en-US"/>
        </a:p>
      </c:txPr>
    </c:title>
    <c:autoTitleDeleted val="0"/>
    <c:plotArea>
      <c:layout>
        <c:manualLayout>
          <c:layoutTarget val="inner"/>
          <c:xMode val="edge"/>
          <c:yMode val="edge"/>
          <c:x val="0.15715561030424016"/>
          <c:y val="0.19687081581001872"/>
          <c:w val="0.71703667856350695"/>
          <c:h val="0.79114815858560394"/>
        </c:manualLayout>
      </c:layout>
      <c:doughnutChart>
        <c:varyColors val="1"/>
        <c:ser>
          <c:idx val="0"/>
          <c:order val="0"/>
          <c:spPr>
            <a:solidFill>
              <a:srgbClr val="7030A0"/>
            </a:solidFill>
          </c:spPr>
          <c:dPt>
            <c:idx val="0"/>
            <c:bubble3D val="0"/>
            <c:spPr>
              <a:solidFill>
                <a:srgbClr val="7030A0"/>
              </a:solidFill>
              <a:ln w="19050">
                <a:solidFill>
                  <a:schemeClr val="lt1"/>
                </a:solidFill>
              </a:ln>
              <a:effectLst/>
            </c:spPr>
            <c:extLst>
              <c:ext xmlns:c16="http://schemas.microsoft.com/office/drawing/2014/chart" uri="{C3380CC4-5D6E-409C-BE32-E72D297353CC}">
                <c16:uniqueId val="{00000001-ED04-4DE9-BF70-EE3A105E2D9C}"/>
              </c:ext>
            </c:extLst>
          </c:dPt>
          <c:dPt>
            <c:idx val="1"/>
            <c:bubble3D val="0"/>
            <c:spPr>
              <a:noFill/>
              <a:ln w="19050">
                <a:solidFill>
                  <a:schemeClr val="lt1"/>
                </a:solidFill>
              </a:ln>
              <a:effectLst/>
            </c:spPr>
            <c:extLst>
              <c:ext xmlns:c16="http://schemas.microsoft.com/office/drawing/2014/chart" uri="{C3380CC4-5D6E-409C-BE32-E72D297353CC}">
                <c16:uniqueId val="{00000003-ED04-4DE9-BF70-EE3A105E2D9C}"/>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ED04-4DE9-BF70-EE3A105E2D9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Dashboard.xlsx]education wise attrition!education</c:name>
    <c:fmtId val="2"/>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dLbl>
          <c:idx val="0"/>
          <c:layout>
            <c:manualLayout>
              <c:x val="-8.6269754095059156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dLbl>
          <c:idx val="0"/>
          <c:layout>
            <c:manualLayout>
              <c:x val="8.4689099908883785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dLbl>
          <c:idx val="0"/>
          <c:layout>
            <c:manualLayout>
              <c:x val="-8.6269754095059156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dLbl>
          <c:idx val="0"/>
          <c:layout>
            <c:manualLayout>
              <c:x val="-1.9687200293487857E-2"/>
              <c:y val="-5.4392896693232578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dLbl>
          <c:idx val="0"/>
          <c:layout>
            <c:manualLayout>
              <c:x val="-3.0968629675150452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wise attrition'!$B$5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1-B1B4-4050-ADE6-0DDD09F4341A}"/>
              </c:ext>
            </c:extLst>
          </c:dPt>
          <c:dPt>
            <c:idx val="1"/>
            <c:invertIfNegative val="0"/>
            <c:bubble3D val="0"/>
            <c:extLst>
              <c:ext xmlns:c16="http://schemas.microsoft.com/office/drawing/2014/chart" uri="{C3380CC4-5D6E-409C-BE32-E72D297353CC}">
                <c16:uniqueId val="{00000003-B1B4-4050-ADE6-0DDD09F4341A}"/>
              </c:ext>
            </c:extLst>
          </c:dPt>
          <c:dPt>
            <c:idx val="2"/>
            <c:invertIfNegative val="0"/>
            <c:bubble3D val="0"/>
            <c:extLst>
              <c:ext xmlns:c16="http://schemas.microsoft.com/office/drawing/2014/chart" uri="{C3380CC4-5D6E-409C-BE32-E72D297353CC}">
                <c16:uniqueId val="{00000004-B1B4-4050-ADE6-0DDD09F4341A}"/>
              </c:ext>
            </c:extLst>
          </c:dPt>
          <c:dPt>
            <c:idx val="3"/>
            <c:invertIfNegative val="0"/>
            <c:bubble3D val="0"/>
            <c:extLst>
              <c:ext xmlns:c16="http://schemas.microsoft.com/office/drawing/2014/chart" uri="{C3380CC4-5D6E-409C-BE32-E72D297353CC}">
                <c16:uniqueId val="{00000005-B1B4-4050-ADE6-0DDD09F4341A}"/>
              </c:ext>
            </c:extLst>
          </c:dPt>
          <c:dPt>
            <c:idx val="4"/>
            <c:invertIfNegative val="0"/>
            <c:bubble3D val="0"/>
            <c:extLst>
              <c:ext xmlns:c16="http://schemas.microsoft.com/office/drawing/2014/chart" uri="{C3380CC4-5D6E-409C-BE32-E72D297353CC}">
                <c16:uniqueId val="{00000002-B1B4-4050-ADE6-0DDD09F4341A}"/>
              </c:ext>
            </c:extLst>
          </c:dPt>
          <c:dLbls>
            <c:dLbl>
              <c:idx val="0"/>
              <c:layout>
                <c:manualLayout>
                  <c:x val="8.4689099908883785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B4-4050-ADE6-0DDD09F4341A}"/>
                </c:ext>
              </c:extLst>
            </c:dLbl>
            <c:dLbl>
              <c:idx val="1"/>
              <c:layout>
                <c:manualLayout>
                  <c:x val="-8.626975409505915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1B4-4050-ADE6-0DDD09F4341A}"/>
                </c:ext>
              </c:extLst>
            </c:dLbl>
            <c:dLbl>
              <c:idx val="2"/>
              <c:layout>
                <c:manualLayout>
                  <c:x val="-1.9687200293487857E-2"/>
                  <c:y val="-5.439289669323257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1B4-4050-ADE6-0DDD09F4341A}"/>
                </c:ext>
              </c:extLst>
            </c:dLbl>
            <c:dLbl>
              <c:idx val="3"/>
              <c:layout>
                <c:manualLayout>
                  <c:x val="-3.0968629675150452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1B4-4050-ADE6-0DDD09F4341A}"/>
                </c:ext>
              </c:extLst>
            </c:dLbl>
            <c:dLbl>
              <c:idx val="4"/>
              <c:layout>
                <c:manualLayout>
                  <c:x val="-8.626975409505915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1B4-4050-ADE6-0DDD09F4341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'education wise attrition'!$A$6:$A$11</c:f>
              <c:strCache>
                <c:ptCount val="5"/>
                <c:pt idx="0">
                  <c:v>Doctoral Degree</c:v>
                </c:pt>
                <c:pt idx="1">
                  <c:v>High School</c:v>
                </c:pt>
                <c:pt idx="2">
                  <c:v>Associates Degree</c:v>
                </c:pt>
                <c:pt idx="3">
                  <c:v>Master's Degree</c:v>
                </c:pt>
                <c:pt idx="4">
                  <c:v>Bachelor's Degree</c:v>
                </c:pt>
              </c:strCache>
            </c:strRef>
          </c:cat>
          <c:val>
            <c:numRef>
              <c:f>'education wise attrition'!$B$6:$B$11</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F2B-4195-94E0-05AC7F161399}"/>
            </c:ext>
          </c:extLst>
        </c:ser>
        <c:dLbls>
          <c:dLblPos val="inEnd"/>
          <c:showLegendKey val="0"/>
          <c:showVal val="1"/>
          <c:showCatName val="0"/>
          <c:showSerName val="0"/>
          <c:showPercent val="0"/>
          <c:showBubbleSize val="0"/>
        </c:dLbls>
        <c:gapWidth val="65"/>
        <c:axId val="340766960"/>
        <c:axId val="340759056"/>
      </c:barChart>
      <c:catAx>
        <c:axId val="340766960"/>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0759056"/>
        <c:crosses val="autoZero"/>
        <c:auto val="1"/>
        <c:lblAlgn val="ctr"/>
        <c:lblOffset val="100"/>
        <c:noMultiLvlLbl val="0"/>
      </c:catAx>
      <c:valAx>
        <c:axId val="340759056"/>
        <c:scaling>
          <c:orientation val="minMax"/>
        </c:scaling>
        <c:delete val="0"/>
        <c:axPos val="b"/>
        <c:numFmt formatCode="General" sourceLinked="1"/>
        <c:majorTickMark val="none"/>
        <c:minorTickMark val="none"/>
        <c:tickLblPos val="nextTo"/>
        <c:spPr>
          <a:noFill/>
          <a:ln>
            <a:noFill/>
          </a:ln>
          <a:effectLst>
            <a:glow rad="63500">
              <a:schemeClr val="accent1">
                <a:satMod val="175000"/>
                <a:alpha val="40000"/>
              </a:schemeClr>
            </a:glow>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40766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chemeClr val="bg1">
                <a:lumMod val="85000"/>
              </a:schemeClr>
            </a:solidFill>
            <a:effectLst>
              <a:outerShdw blurRad="50800" dist="50800" dir="5400000" sx="1000" sy="1000" algn="ctr" rotWithShape="0">
                <a:schemeClr val="accent2">
                  <a:lumMod val="50000"/>
                </a:schemeClr>
              </a:outerShdw>
            </a:effectLst>
          </c:spPr>
          <c:explosion val="4"/>
          <c:dPt>
            <c:idx val="0"/>
            <c:bubble3D val="0"/>
            <c:spPr>
              <a:solidFill>
                <a:schemeClr val="accent5">
                  <a:lumMod val="75000"/>
                </a:schemeClr>
              </a:solidFill>
              <a:ln w="19050">
                <a:solidFill>
                  <a:schemeClr val="lt1"/>
                </a:solidFill>
              </a:ln>
              <a:effectLst>
                <a:outerShdw blurRad="50800" dist="50800" dir="5400000" sx="1000" sy="1000" algn="ctr" rotWithShape="0">
                  <a:schemeClr val="accent2">
                    <a:lumMod val="50000"/>
                  </a:schemeClr>
                </a:outerShdw>
              </a:effectLst>
            </c:spPr>
            <c:extLst>
              <c:ext xmlns:c16="http://schemas.microsoft.com/office/drawing/2014/chart" uri="{C3380CC4-5D6E-409C-BE32-E72D297353CC}">
                <c16:uniqueId val="{00000001-3E14-4FC0-B48F-BC9D2C5EF0F2}"/>
              </c:ext>
            </c:extLst>
          </c:dPt>
          <c:dPt>
            <c:idx val="1"/>
            <c:bubble3D val="0"/>
            <c:spPr>
              <a:gradFill flip="none" rotWithShape="1">
                <a:gsLst>
                  <a:gs pos="0">
                    <a:srgbClr val="7030A0"/>
                  </a:gs>
                  <a:gs pos="81000">
                    <a:schemeClr val="accent1">
                      <a:lumMod val="30000"/>
                      <a:lumOff val="70000"/>
                    </a:schemeClr>
                  </a:gs>
                </a:gsLst>
                <a:path path="circle">
                  <a:fillToRect l="100000" t="100000"/>
                </a:path>
                <a:tileRect r="-100000" b="-100000"/>
              </a:gradFill>
              <a:ln w="19050">
                <a:solidFill>
                  <a:schemeClr val="lt1"/>
                </a:solidFill>
              </a:ln>
              <a:effectLst>
                <a:outerShdw blurRad="50800" dist="50800" dir="5400000" sx="1000" sy="1000" algn="ctr" rotWithShape="0">
                  <a:schemeClr val="accent2">
                    <a:lumMod val="50000"/>
                  </a:schemeClr>
                </a:outerShdw>
              </a:effectLst>
            </c:spPr>
            <c:extLst>
              <c:ext xmlns:c16="http://schemas.microsoft.com/office/drawing/2014/chart" uri="{C3380CC4-5D6E-409C-BE32-E72D297353CC}">
                <c16:uniqueId val="{00000003-3E14-4FC0-B48F-BC9D2C5EF0F2}"/>
              </c:ext>
            </c:extLst>
          </c:dPt>
          <c:dPt>
            <c:idx val="2"/>
            <c:bubble3D val="0"/>
            <c:spPr>
              <a:gradFill>
                <a:gsLst>
                  <a:gs pos="42000">
                    <a:schemeClr val="accent2">
                      <a:lumMod val="40000"/>
                      <a:lumOff val="60000"/>
                    </a:schemeClr>
                  </a:gs>
                  <a:gs pos="100000">
                    <a:schemeClr val="accent4">
                      <a:lumMod val="60000"/>
                      <a:lumOff val="40000"/>
                    </a:schemeClr>
                  </a:gs>
                </a:gsLst>
                <a:path path="circle">
                  <a:fillToRect l="100000" t="100000"/>
                </a:path>
              </a:gradFill>
              <a:ln w="19050">
                <a:solidFill>
                  <a:schemeClr val="lt1"/>
                </a:solidFill>
              </a:ln>
              <a:effectLst>
                <a:outerShdw blurRad="50800" dist="50800" dir="5400000" sx="1000" sy="1000" algn="ctr" rotWithShape="0">
                  <a:schemeClr val="accent2">
                    <a:lumMod val="50000"/>
                  </a:schemeClr>
                </a:outerShdw>
              </a:effectLst>
            </c:spPr>
            <c:extLst>
              <c:ext xmlns:c16="http://schemas.microsoft.com/office/drawing/2014/chart" uri="{C3380CC4-5D6E-409C-BE32-E72D297353CC}">
                <c16:uniqueId val="{00000005-3E14-4FC0-B48F-BC9D2C5EF0F2}"/>
              </c:ext>
            </c:extLst>
          </c:dPt>
          <c:dLbls>
            <c:dLbl>
              <c:idx val="0"/>
              <c:tx>
                <c:rich>
                  <a:bodyPr/>
                  <a:lstStyle/>
                  <a:p>
                    <a:fld id="{5A40E3BB-5369-40E2-AD1D-1BBB5E0BCD4A}" type="CELLRANGE">
                      <a:rPr lang="en-US"/>
                      <a:pPr/>
                      <a:t>[CELLRANGE]</a:t>
                    </a:fld>
                    <a:r>
                      <a:rPr lang="en-US" baseline="0"/>
                      <a:t>, </a:t>
                    </a:r>
                    <a:fld id="{328D1B04-5F2F-4F56-8D9E-291C3F4C69DB}"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E14-4FC0-B48F-BC9D2C5EF0F2}"/>
                </c:ext>
              </c:extLst>
            </c:dLbl>
            <c:dLbl>
              <c:idx val="1"/>
              <c:layout>
                <c:manualLayout>
                  <c:x val="1.370008543933807E-2"/>
                  <c:y val="-5.0793971235074875E-3"/>
                </c:manualLayout>
              </c:layout>
              <c:tx>
                <c:rich>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Bahnschrift Condensed" panose="020B0502040204020203" pitchFamily="34" charset="0"/>
                        <a:ea typeface="+mn-ea"/>
                        <a:cs typeface="Arial" panose="020B0604020202020204" pitchFamily="34" charset="0"/>
                      </a:defRPr>
                    </a:pPr>
                    <a:fld id="{6C980903-B552-4EA5-A00C-A4B792279D29}" type="CELLRANGE">
                      <a:rPr lang="en-US" sz="1200" b="1" baseline="0">
                        <a:latin typeface="Bahnschrift Condensed" panose="020B0502040204020203" pitchFamily="34" charset="0"/>
                      </a:rPr>
                      <a:pPr>
                        <a:defRPr sz="1200" b="1">
                          <a:latin typeface="Bahnschrift Condensed" panose="020B0502040204020203" pitchFamily="34" charset="0"/>
                          <a:cs typeface="Arial" panose="020B0604020202020204" pitchFamily="34" charset="0"/>
                        </a:defRPr>
                      </a:pPr>
                      <a:t>[CELLRANGE]</a:t>
                    </a:fld>
                    <a:r>
                      <a:rPr lang="en-US" sz="1200" b="1" baseline="0">
                        <a:latin typeface="Bahnschrift Condensed" panose="020B0502040204020203" pitchFamily="34" charset="0"/>
                      </a:rPr>
                      <a:t>, </a:t>
                    </a:r>
                    <a:fld id="{01DE0229-20DB-4546-AED7-F6D45FE465C7}" type="VALUE">
                      <a:rPr lang="en-US" sz="1200" b="1" baseline="0">
                        <a:latin typeface="Bahnschrift Condensed" panose="020B0502040204020203" pitchFamily="34" charset="0"/>
                      </a:rPr>
                      <a:pPr>
                        <a:defRPr sz="1200" b="1">
                          <a:latin typeface="Bahnschrift Condensed" panose="020B0502040204020203" pitchFamily="34" charset="0"/>
                          <a:cs typeface="Arial" panose="020B0604020202020204" pitchFamily="34" charset="0"/>
                        </a:defRPr>
                      </a:pPr>
                      <a:t>[VALUE]</a:t>
                    </a:fld>
                    <a:endParaRPr lang="en-US" sz="1200" b="1" baseline="0">
                      <a:latin typeface="Bahnschrift Condensed" panose="020B0502040204020203"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Bahnschrift Condensed" panose="020B0502040204020203"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0619444444444446"/>
                      <c:h val="0.21101851851851847"/>
                    </c:manualLayout>
                  </c15:layout>
                  <c15:dlblFieldTable/>
                  <c15:showDataLabelsRange val="1"/>
                </c:ext>
                <c:ext xmlns:c16="http://schemas.microsoft.com/office/drawing/2014/chart" uri="{C3380CC4-5D6E-409C-BE32-E72D297353CC}">
                  <c16:uniqueId val="{00000003-3E14-4FC0-B48F-BC9D2C5EF0F2}"/>
                </c:ext>
              </c:extLst>
            </c:dLbl>
            <c:dLbl>
              <c:idx val="2"/>
              <c:tx>
                <c:rich>
                  <a:bodyPr/>
                  <a:lstStyle/>
                  <a:p>
                    <a:fld id="{5CDAD6C3-58A9-4470-B298-59C67DBDC1A4}" type="CELLRANGE">
                      <a:rPr lang="en-US"/>
                      <a:pPr/>
                      <a:t>[CELLRANGE]</a:t>
                    </a:fld>
                    <a:r>
                      <a:rPr lang="en-US" baseline="0"/>
                      <a:t>, </a:t>
                    </a:r>
                    <a:fld id="{DBCDB56A-028B-46E8-852E-EF494B0B8FF6}"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E14-4FC0-B48F-BC9D2C5EF0F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 wise attrition'!$G$8:$G$10</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 wise attrition'!$E$8:$E$10</c15:f>
                <c15:dlblRangeCache>
                  <c:ptCount val="3"/>
                  <c:pt idx="0">
                    <c:v>HR</c:v>
                  </c:pt>
                  <c:pt idx="1">
                    <c:v>R&amp;D</c:v>
                  </c:pt>
                  <c:pt idx="2">
                    <c:v>Sales</c:v>
                  </c:pt>
                </c15:dlblRangeCache>
              </c15:datalabelsRange>
            </c:ext>
            <c:ext xmlns:c16="http://schemas.microsoft.com/office/drawing/2014/chart" uri="{C3380CC4-5D6E-409C-BE32-E72D297353CC}">
              <c16:uniqueId val="{00000006-3E14-4FC0-B48F-BC9D2C5EF0F2}"/>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Dashboard.xlsx]attrition By age group!age group</c:name>
    <c:fmtId val="5"/>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'attrition By age group'!$A$4:$A$9</c:f>
              <c:strCache>
                <c:ptCount val="5"/>
                <c:pt idx="0">
                  <c:v>25 - 34</c:v>
                </c:pt>
                <c:pt idx="1">
                  <c:v>35 - 44</c:v>
                </c:pt>
                <c:pt idx="2">
                  <c:v>45 - 54</c:v>
                </c:pt>
                <c:pt idx="3">
                  <c:v>Under 25</c:v>
                </c:pt>
                <c:pt idx="4">
                  <c:v>Over 55</c:v>
                </c:pt>
              </c:strCache>
            </c:strRef>
          </c:cat>
          <c:val>
            <c:numRef>
              <c:f>'attrition By age 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6BB0-4EB9-BC4A-963C7D628BCA}"/>
            </c:ext>
          </c:extLst>
        </c:ser>
        <c:dLbls>
          <c:dLblPos val="outEnd"/>
          <c:showLegendKey val="0"/>
          <c:showVal val="1"/>
          <c:showCatName val="0"/>
          <c:showSerName val="0"/>
          <c:showPercent val="0"/>
          <c:showBubbleSize val="0"/>
        </c:dLbls>
        <c:gapWidth val="100"/>
        <c:overlap val="-24"/>
        <c:axId val="1788641440"/>
        <c:axId val="1788635616"/>
      </c:barChart>
      <c:catAx>
        <c:axId val="17886414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8635616"/>
        <c:crosses val="autoZero"/>
        <c:auto val="1"/>
        <c:lblAlgn val="ctr"/>
        <c:lblOffset val="100"/>
        <c:noMultiLvlLbl val="0"/>
      </c:catAx>
      <c:valAx>
        <c:axId val="1788635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8641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gradFill>
                <a:gsLst>
                  <a:gs pos="83000">
                    <a:schemeClr val="accent1">
                      <a:lumMod val="45000"/>
                      <a:lumOff val="55000"/>
                    </a:schemeClr>
                  </a:gs>
                  <a:gs pos="100000">
                    <a:schemeClr val="accent1">
                      <a:lumMod val="30000"/>
                      <a:lumOff val="70000"/>
                    </a:schemeClr>
                  </a:gs>
                </a:gsLst>
                <a:lin ang="5400000" scaled="1"/>
              </a:gradFill>
            </a:ln>
          </c:spPr>
          <c:dPt>
            <c:idx val="0"/>
            <c:bubble3D val="0"/>
            <c:spPr>
              <a:gradFill>
                <a:gsLst>
                  <a:gs pos="100000">
                    <a:srgbClr val="92D050"/>
                  </a:gs>
                  <a:gs pos="0">
                    <a:schemeClr val="accent5">
                      <a:lumMod val="75000"/>
                    </a:schemeClr>
                  </a:gs>
                  <a:gs pos="100000">
                    <a:schemeClr val="accent1">
                      <a:lumMod val="30000"/>
                      <a:lumOff val="70000"/>
                    </a:schemeClr>
                  </a:gs>
                </a:gsLst>
                <a:lin ang="4800000" scaled="0"/>
              </a:gradFill>
              <a:ln w="19050">
                <a:noFill/>
              </a:ln>
              <a:effectLst/>
            </c:spPr>
            <c:extLst>
              <c:ext xmlns:c16="http://schemas.microsoft.com/office/drawing/2014/chart" uri="{C3380CC4-5D6E-409C-BE32-E72D297353CC}">
                <c16:uniqueId val="{00000002-6977-4B78-A2E4-24660FDB7D9B}"/>
              </c:ext>
            </c:extLst>
          </c:dPt>
          <c:dPt>
            <c:idx val="1"/>
            <c:bubble3D val="0"/>
            <c:spPr>
              <a:solidFill>
                <a:schemeClr val="bg1">
                  <a:lumMod val="75000"/>
                </a:schemeClr>
              </a:solidFill>
              <a:ln w="19050">
                <a:gradFill>
                  <a:gsLst>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6977-4B78-A2E4-24660FDB7D9B}"/>
              </c:ext>
            </c:extLst>
          </c:dPt>
          <c:val>
            <c:numRef>
              <c:f>rating!$C$8:$C$9</c:f>
              <c:numCache>
                <c:formatCode>0.00%</c:formatCode>
                <c:ptCount val="2"/>
                <c:pt idx="0">
                  <c:v>0.65663265306122454</c:v>
                </c:pt>
                <c:pt idx="1">
                  <c:v>0.34336734693877546</c:v>
                </c:pt>
              </c:numCache>
            </c:numRef>
          </c:val>
          <c:extLst>
            <c:ext xmlns:c16="http://schemas.microsoft.com/office/drawing/2014/chart" uri="{C3380CC4-5D6E-409C-BE32-E72D297353CC}">
              <c16:uniqueId val="{00000000-6977-4B78-A2E4-24660FDB7D9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a:solidFill>
                  <a:schemeClr val="tx1"/>
                </a:solidFill>
                <a:latin typeface="Algerian" panose="04020705040A02060702" pitchFamily="82" charset="0"/>
              </a:rPr>
              <a:t>Male</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186824699928264"/>
          <c:y val="0.21173868940256302"/>
          <c:w val="0.40287467191601051"/>
          <c:h val="0.6714577865266842"/>
        </c:manualLayout>
      </c:layout>
      <c:doughnutChart>
        <c:varyColors val="1"/>
        <c:ser>
          <c:idx val="0"/>
          <c:order val="0"/>
          <c:spPr>
            <a:solidFill>
              <a:schemeClr val="bg1">
                <a:lumMod val="85000"/>
              </a:schemeClr>
            </a:solidFill>
          </c:spPr>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F054-4F02-8F34-5B5DFD7B0EF1}"/>
              </c:ext>
            </c:extLst>
          </c:dPt>
          <c:dPt>
            <c:idx val="1"/>
            <c:bubble3D val="0"/>
            <c:spPr>
              <a:gradFill>
                <a:gsLst>
                  <a:gs pos="91500">
                    <a:srgbClr val="7030A0"/>
                  </a:gs>
                  <a:gs pos="2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2-BA1F-4B06-BA6F-4CFC2754B9CC}"/>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BA1F-4B06-BA6F-4CFC2754B9C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a:latin typeface="Algerian" panose="04020705040A02060702" pitchFamily="82" charset="0"/>
              </a:rPr>
              <a:t>FEMALE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145717529458102"/>
          <c:y val="0.12848388743073783"/>
          <c:w val="0.50650706130398571"/>
          <c:h val="0.89452906320744141"/>
        </c:manualLayout>
      </c:layout>
      <c:doughnutChart>
        <c:varyColors val="1"/>
        <c:ser>
          <c:idx val="0"/>
          <c:order val="0"/>
          <c:spPr>
            <a:solidFill>
              <a:srgbClr val="7030A0"/>
            </a:solidFill>
          </c:spPr>
          <c:dPt>
            <c:idx val="0"/>
            <c:bubble3D val="0"/>
            <c:spPr>
              <a:gradFill>
                <a:gsLst>
                  <a:gs pos="0">
                    <a:srgbClr val="00B0F0"/>
                  </a:gs>
                  <a:gs pos="3000">
                    <a:srgbClr val="2289D8"/>
                  </a:gs>
                  <a:gs pos="41000">
                    <a:srgbClr val="7030A0"/>
                  </a:gs>
                  <a:gs pos="97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4-59C8-4E64-AE16-73A3D25A5263}"/>
              </c:ext>
            </c:extLst>
          </c:dPt>
          <c:dPt>
            <c:idx val="1"/>
            <c:bubble3D val="0"/>
            <c:spPr>
              <a:noFill/>
              <a:ln w="19050">
                <a:solidFill>
                  <a:schemeClr val="lt1"/>
                </a:solidFill>
              </a:ln>
              <a:effectLst/>
            </c:spPr>
            <c:extLst>
              <c:ext xmlns:c16="http://schemas.microsoft.com/office/drawing/2014/chart" uri="{C3380CC4-5D6E-409C-BE32-E72D297353CC}">
                <c16:uniqueId val="{00000002-59C8-4E64-AE16-73A3D25A5263}"/>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59C8-4E64-AE16-73A3D25A526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Dashboard.xlsx]education wise attrition!education</c:name>
    <c:fmtId val="0"/>
  </c:pivotSource>
  <c:chart>
    <c:autoTitleDeleted val="1"/>
    <c:pivotFmts>
      <c:pivotFmt>
        <c:idx val="0"/>
        <c:spPr>
          <a:gradFill flip="none" rotWithShape="1">
            <a:gsLst>
              <a:gs pos="74000">
                <a:schemeClr val="accent6">
                  <a:lumMod val="75000"/>
                </a:schemeClr>
              </a:gs>
              <a:gs pos="28000">
                <a:schemeClr val="accent6">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74000">
                <a:schemeClr val="accent6">
                  <a:lumMod val="75000"/>
                </a:schemeClr>
              </a:gs>
              <a:gs pos="28000">
                <a:schemeClr val="accent6">
                  <a:lumMod val="40000"/>
                  <a:lumOff val="60000"/>
                </a:schemeClr>
              </a:gs>
            </a:gsLst>
            <a:path path="circle">
              <a:fillToRect l="100000" t="100000"/>
            </a:path>
            <a:tileRect r="-100000" b="-100000"/>
          </a:gradFill>
          <a:ln>
            <a:noFill/>
          </a:ln>
          <a:effectLst/>
        </c:spPr>
      </c:pivotFmt>
      <c:pivotFmt>
        <c:idx val="2"/>
        <c:spPr>
          <a:gradFill flip="none" rotWithShape="1">
            <a:gsLst>
              <a:gs pos="74000">
                <a:schemeClr val="accent6">
                  <a:lumMod val="75000"/>
                </a:schemeClr>
              </a:gs>
              <a:gs pos="28000">
                <a:schemeClr val="accent6">
                  <a:lumMod val="40000"/>
                  <a:lumOff val="60000"/>
                </a:schemeClr>
              </a:gs>
            </a:gsLst>
            <a:path path="circle">
              <a:fillToRect l="100000" t="100000"/>
            </a:path>
            <a:tileRect r="-100000" b="-100000"/>
          </a:gradFill>
          <a:ln>
            <a:noFill/>
          </a:ln>
          <a:effectLst/>
        </c:spPr>
      </c:pivotFmt>
    </c:pivotFmts>
    <c:plotArea>
      <c:layout/>
      <c:barChart>
        <c:barDir val="bar"/>
        <c:grouping val="clustered"/>
        <c:varyColors val="0"/>
        <c:ser>
          <c:idx val="0"/>
          <c:order val="0"/>
          <c:tx>
            <c:strRef>
              <c:f>'education wise attrition'!$B$5</c:f>
              <c:strCache>
                <c:ptCount val="1"/>
                <c:pt idx="0">
                  <c:v>Total</c:v>
                </c:pt>
              </c:strCache>
            </c:strRef>
          </c:tx>
          <c:spPr>
            <a:gradFill flip="none" rotWithShape="1">
              <a:gsLst>
                <a:gs pos="74000">
                  <a:schemeClr val="accent6">
                    <a:lumMod val="75000"/>
                  </a:schemeClr>
                </a:gs>
                <a:gs pos="28000">
                  <a:schemeClr val="accent6">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attrition'!$A$6:$A$11</c:f>
              <c:strCache>
                <c:ptCount val="5"/>
                <c:pt idx="0">
                  <c:v>Doctoral Degree</c:v>
                </c:pt>
                <c:pt idx="1">
                  <c:v>High School</c:v>
                </c:pt>
                <c:pt idx="2">
                  <c:v>Associates Degree</c:v>
                </c:pt>
                <c:pt idx="3">
                  <c:v>Master's Degree</c:v>
                </c:pt>
                <c:pt idx="4">
                  <c:v>Bachelor's Degree</c:v>
                </c:pt>
              </c:strCache>
            </c:strRef>
          </c:cat>
          <c:val>
            <c:numRef>
              <c:f>'education wise attrition'!$B$6:$B$11</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155B-42C1-A835-B52120BA99AC}"/>
            </c:ext>
          </c:extLst>
        </c:ser>
        <c:dLbls>
          <c:dLblPos val="outEnd"/>
          <c:showLegendKey val="0"/>
          <c:showVal val="1"/>
          <c:showCatName val="0"/>
          <c:showSerName val="0"/>
          <c:showPercent val="0"/>
          <c:showBubbleSize val="0"/>
        </c:dLbls>
        <c:gapWidth val="182"/>
        <c:axId val="340766960"/>
        <c:axId val="340759056"/>
      </c:barChart>
      <c:catAx>
        <c:axId val="3407669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759056"/>
        <c:crosses val="autoZero"/>
        <c:auto val="1"/>
        <c:lblAlgn val="ctr"/>
        <c:lblOffset val="100"/>
        <c:noMultiLvlLbl val="0"/>
      </c:catAx>
      <c:valAx>
        <c:axId val="340759056"/>
        <c:scaling>
          <c:orientation val="minMax"/>
        </c:scaling>
        <c:delete val="1"/>
        <c:axPos val="b"/>
        <c:numFmt formatCode="General" sourceLinked="1"/>
        <c:majorTickMark val="out"/>
        <c:minorTickMark val="none"/>
        <c:tickLblPos val="nextTo"/>
        <c:crossAx val="340766960"/>
        <c:crosses val="autoZero"/>
        <c:crossBetween val="between"/>
      </c:valAx>
      <c:spPr>
        <a:noFill/>
        <a:ln>
          <a:solidFill>
            <a:schemeClr val="accent1">
              <a:alpha val="94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chemeClr val="bg1">
                <a:lumMod val="85000"/>
              </a:schemeClr>
            </a:solidFill>
            <a:effectLst>
              <a:outerShdw blurRad="50800" dist="50800" dir="5400000" sx="1000" sy="1000" algn="ctr" rotWithShape="0">
                <a:schemeClr val="accent2">
                  <a:lumMod val="50000"/>
                </a:schemeClr>
              </a:outerShdw>
            </a:effectLst>
          </c:spPr>
          <c:explosion val="4"/>
          <c:dPt>
            <c:idx val="0"/>
            <c:bubble3D val="0"/>
            <c:spPr>
              <a:solidFill>
                <a:schemeClr val="accent5">
                  <a:lumMod val="75000"/>
                </a:schemeClr>
              </a:solidFill>
              <a:ln w="19050">
                <a:solidFill>
                  <a:schemeClr val="lt1"/>
                </a:solidFill>
              </a:ln>
              <a:effectLst>
                <a:outerShdw blurRad="50800" dist="50800" dir="5400000" sx="1000" sy="1000" algn="ctr" rotWithShape="0">
                  <a:schemeClr val="accent2">
                    <a:lumMod val="50000"/>
                  </a:schemeClr>
                </a:outerShdw>
              </a:effectLst>
            </c:spPr>
            <c:extLst>
              <c:ext xmlns:c16="http://schemas.microsoft.com/office/drawing/2014/chart" uri="{C3380CC4-5D6E-409C-BE32-E72D297353CC}">
                <c16:uniqueId val="{00000002-6351-4B8B-8C61-0617359CE88F}"/>
              </c:ext>
            </c:extLst>
          </c:dPt>
          <c:dPt>
            <c:idx val="1"/>
            <c:bubble3D val="0"/>
            <c:spPr>
              <a:gradFill flip="none" rotWithShape="1">
                <a:gsLst>
                  <a:gs pos="0">
                    <a:srgbClr val="7030A0"/>
                  </a:gs>
                  <a:gs pos="81000">
                    <a:schemeClr val="accent1">
                      <a:lumMod val="30000"/>
                      <a:lumOff val="70000"/>
                    </a:schemeClr>
                  </a:gs>
                </a:gsLst>
                <a:path path="circle">
                  <a:fillToRect l="100000" t="100000"/>
                </a:path>
                <a:tileRect r="-100000" b="-100000"/>
              </a:gradFill>
              <a:ln w="19050">
                <a:solidFill>
                  <a:schemeClr val="lt1"/>
                </a:solidFill>
              </a:ln>
              <a:effectLst>
                <a:outerShdw blurRad="50800" dist="50800" dir="5400000" sx="1000" sy="1000" algn="ctr" rotWithShape="0">
                  <a:schemeClr val="accent2">
                    <a:lumMod val="50000"/>
                  </a:schemeClr>
                </a:outerShdw>
              </a:effectLst>
            </c:spPr>
            <c:extLst>
              <c:ext xmlns:c16="http://schemas.microsoft.com/office/drawing/2014/chart" uri="{C3380CC4-5D6E-409C-BE32-E72D297353CC}">
                <c16:uniqueId val="{00000003-6351-4B8B-8C61-0617359CE88F}"/>
              </c:ext>
            </c:extLst>
          </c:dPt>
          <c:dPt>
            <c:idx val="2"/>
            <c:bubble3D val="0"/>
            <c:spPr>
              <a:gradFill>
                <a:gsLst>
                  <a:gs pos="42000">
                    <a:schemeClr val="accent2">
                      <a:lumMod val="40000"/>
                      <a:lumOff val="60000"/>
                    </a:schemeClr>
                  </a:gs>
                  <a:gs pos="100000">
                    <a:schemeClr val="accent4">
                      <a:lumMod val="60000"/>
                      <a:lumOff val="40000"/>
                    </a:schemeClr>
                  </a:gs>
                </a:gsLst>
                <a:path path="circle">
                  <a:fillToRect l="100000" t="100000"/>
                </a:path>
              </a:gradFill>
              <a:ln w="19050">
                <a:solidFill>
                  <a:schemeClr val="lt1"/>
                </a:solidFill>
              </a:ln>
              <a:effectLst>
                <a:outerShdw blurRad="50800" dist="50800" dir="5400000" sx="1000" sy="1000" algn="ctr" rotWithShape="0">
                  <a:schemeClr val="accent2">
                    <a:lumMod val="50000"/>
                  </a:schemeClr>
                </a:outerShdw>
              </a:effectLst>
            </c:spPr>
            <c:extLst>
              <c:ext xmlns:c16="http://schemas.microsoft.com/office/drawing/2014/chart" uri="{C3380CC4-5D6E-409C-BE32-E72D297353CC}">
                <c16:uniqueId val="{00000004-6351-4B8B-8C61-0617359CE88F}"/>
              </c:ext>
            </c:extLst>
          </c:dPt>
          <c:dLbls>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lgerian" panose="04020705040A02060702" pitchFamily="82" charset="0"/>
                        <a:ea typeface="+mn-ea"/>
                        <a:cs typeface="+mn-cs"/>
                      </a:defRPr>
                    </a:pPr>
                    <a:fld id="{B304548A-D481-4FBD-A6F8-CC5EFF21BDC2}" type="CELLRANGE">
                      <a:rPr lang="en-IN"/>
                      <a:pPr>
                        <a:defRPr sz="1400">
                          <a:latin typeface="Algerian" panose="04020705040A02060702" pitchFamily="82" charset="0"/>
                        </a:defRPr>
                      </a:pPr>
                      <a:t>[CELLRANGE]</a:t>
                    </a:fld>
                    <a:r>
                      <a:rPr lang="en-IN" baseline="0"/>
                      <a:t>, </a:t>
                    </a:r>
                    <a:fld id="{439DD229-43A6-4BC4-939A-B60418E3629F}" type="VALUE">
                      <a:rPr lang="en-IN" baseline="0"/>
                      <a:pPr>
                        <a:defRPr sz="1400">
                          <a:latin typeface="Algerian" panose="04020705040A02060702" pitchFamily="82" charset="0"/>
                        </a:defRPr>
                      </a:pPr>
                      <a:t>[VALUE]</a:t>
                    </a:fld>
                    <a:endParaRPr lang="en-IN"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lgerian" panose="04020705040A02060702" pitchFamily="8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351-4B8B-8C61-0617359CE88F}"/>
                </c:ext>
              </c:extLst>
            </c:dLbl>
            <c:dLbl>
              <c:idx val="1"/>
              <c:layout>
                <c:manualLayout>
                  <c:x val="3.7499999999999895E-2"/>
                  <c:y val="-0.14814814814814825"/>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Algerian" panose="04020705040A02060702" pitchFamily="82" charset="0"/>
                        <a:ea typeface="+mn-ea"/>
                        <a:cs typeface="Arial" panose="020B0604020202020204" pitchFamily="34" charset="0"/>
                      </a:defRPr>
                    </a:pPr>
                    <a:fld id="{A3AF8145-83BC-43ED-9B73-2BED84CD0900}" type="CELLRANGE">
                      <a:rPr lang="en-US" baseline="0">
                        <a:latin typeface="Algerian" panose="04020705040A02060702" pitchFamily="82" charset="0"/>
                      </a:rPr>
                      <a:pPr>
                        <a:defRPr sz="1400" b="1">
                          <a:latin typeface="Algerian" panose="04020705040A02060702" pitchFamily="82" charset="0"/>
                          <a:cs typeface="Arial" panose="020B0604020202020204" pitchFamily="34" charset="0"/>
                        </a:defRPr>
                      </a:pPr>
                      <a:t>[CELLRANGE]</a:t>
                    </a:fld>
                    <a:r>
                      <a:rPr lang="en-US" baseline="0">
                        <a:latin typeface="Algerian" panose="04020705040A02060702" pitchFamily="82" charset="0"/>
                      </a:rPr>
                      <a:t>, </a:t>
                    </a:r>
                    <a:fld id="{CA6191D3-FEAE-44A1-9AD7-0DBE8DD2D610}" type="VALUE">
                      <a:rPr lang="en-US" baseline="0">
                        <a:latin typeface="Algerian" panose="04020705040A02060702" pitchFamily="82" charset="0"/>
                      </a:rPr>
                      <a:pPr>
                        <a:defRPr sz="1400" b="1">
                          <a:latin typeface="Algerian" panose="04020705040A02060702" pitchFamily="82" charset="0"/>
                          <a:cs typeface="Arial" panose="020B0604020202020204" pitchFamily="34" charset="0"/>
                        </a:defRPr>
                      </a:pPr>
                      <a:t>[VALUE]</a:t>
                    </a:fld>
                    <a:endParaRPr lang="en-US" baseline="0">
                      <a:latin typeface="Algerian" panose="04020705040A02060702" pitchFamily="82" charset="0"/>
                    </a:endParaRPr>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Algerian" panose="04020705040A02060702" pitchFamily="82"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0619444444444446"/>
                      <c:h val="0.21101851851851847"/>
                    </c:manualLayout>
                  </c15:layout>
                  <c15:dlblFieldTable/>
                  <c15:showDataLabelsRange val="1"/>
                </c:ext>
                <c:ext xmlns:c16="http://schemas.microsoft.com/office/drawing/2014/chart" uri="{C3380CC4-5D6E-409C-BE32-E72D297353CC}">
                  <c16:uniqueId val="{00000003-6351-4B8B-8C61-0617359CE88F}"/>
                </c:ext>
              </c:extLst>
            </c:dLbl>
            <c:dLbl>
              <c:idx val="2"/>
              <c:tx>
                <c:rich>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lgerian" panose="04020705040A02060702" pitchFamily="82" charset="0"/>
                        <a:ea typeface="+mn-ea"/>
                        <a:cs typeface="+mn-cs"/>
                      </a:defRPr>
                    </a:pPr>
                    <a:fld id="{EEBF3EEF-5400-47C5-95B3-DFD0E8AB1400}" type="CELLRANGE">
                      <a:rPr lang="en-IN"/>
                      <a:pPr>
                        <a:defRPr sz="1400" b="1">
                          <a:latin typeface="Algerian" panose="04020705040A02060702" pitchFamily="82" charset="0"/>
                        </a:defRPr>
                      </a:pPr>
                      <a:t>[CELLRANGE]</a:t>
                    </a:fld>
                    <a:r>
                      <a:rPr lang="en-IN" baseline="0"/>
                      <a:t>, </a:t>
                    </a:r>
                    <a:fld id="{7EA9EB09-DC9F-4212-B593-E3AF4361C0F6}" type="VALUE">
                      <a:rPr lang="en-IN" baseline="0"/>
                      <a:pPr>
                        <a:defRPr sz="1400" b="1">
                          <a:latin typeface="Algerian" panose="04020705040A02060702" pitchFamily="82" charset="0"/>
                        </a:defRPr>
                      </a:pPr>
                      <a:t>[VALUE]</a:t>
                    </a:fld>
                    <a:endParaRPr lang="en-IN" baseline="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lgerian" panose="04020705040A02060702" pitchFamily="8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351-4B8B-8C61-0617359CE8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lgerian" panose="04020705040A02060702" pitchFamily="82"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 wise attrition'!$G$8:$G$10</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 wise attrition'!$E$8:$E$10</c15:f>
                <c15:dlblRangeCache>
                  <c:ptCount val="3"/>
                  <c:pt idx="0">
                    <c:v>HR</c:v>
                  </c:pt>
                  <c:pt idx="1">
                    <c:v>R&amp;D</c:v>
                  </c:pt>
                  <c:pt idx="2">
                    <c:v>Sales</c:v>
                  </c:pt>
                </c15:dlblRangeCache>
              </c15:datalabelsRange>
            </c:ext>
            <c:ext xmlns:c16="http://schemas.microsoft.com/office/drawing/2014/chart" uri="{C3380CC4-5D6E-409C-BE32-E72D297353CC}">
              <c16:uniqueId val="{00000000-6351-4B8B-8C61-0617359CE88F}"/>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Dashboard.xlsx]attrition By age group!age group</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45 - 54</c:v>
                </c:pt>
                <c:pt idx="3">
                  <c:v>Under 25</c:v>
                </c:pt>
                <c:pt idx="4">
                  <c:v>Over 55</c:v>
                </c:pt>
              </c:strCache>
            </c:strRef>
          </c:cat>
          <c:val>
            <c:numRef>
              <c:f>'attrition By age 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79BB-4AB7-B057-E8F454C57180}"/>
            </c:ext>
          </c:extLst>
        </c:ser>
        <c:dLbls>
          <c:dLblPos val="outEnd"/>
          <c:showLegendKey val="0"/>
          <c:showVal val="1"/>
          <c:showCatName val="0"/>
          <c:showSerName val="0"/>
          <c:showPercent val="0"/>
          <c:showBubbleSize val="0"/>
        </c:dLbls>
        <c:gapWidth val="100"/>
        <c:overlap val="-24"/>
        <c:axId val="1788641440"/>
        <c:axId val="1788635616"/>
      </c:barChart>
      <c:catAx>
        <c:axId val="17886414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635616"/>
        <c:crosses val="autoZero"/>
        <c:auto val="1"/>
        <c:lblAlgn val="ctr"/>
        <c:lblOffset val="100"/>
        <c:noMultiLvlLbl val="0"/>
      </c:catAx>
      <c:valAx>
        <c:axId val="1788635616"/>
        <c:scaling>
          <c:orientation val="minMax"/>
        </c:scaling>
        <c:delete val="1"/>
        <c:axPos val="l"/>
        <c:numFmt formatCode="General" sourceLinked="1"/>
        <c:majorTickMark val="out"/>
        <c:minorTickMark val="none"/>
        <c:tickLblPos val="nextTo"/>
        <c:crossAx val="1788641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_xlchart.v1.1</cx:f>
      </cx:numDim>
    </cx:data>
  </cx:chartData>
  <cx:chart>
    <cx:plotArea>
      <cx:plotAreaRegion>
        <cx:series layoutId="treemap" uniqueId="{61EDFDA1-BA88-4A16-ACD2-A63742768E35}">
          <cx:tx>
            <cx:txData>
              <cx:f>_xlchart.v1.0</cx:f>
              <cx:v>Healthcare Representative Human Resources Laboratory Technician Manager Manufacturing Director Research Director Research Scientist Sales Executive Sales Representative</cx:v>
            </cx:txData>
          </cx:tx>
          <cx:dataLabels>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title pos="t" align="ctr" overlay="0">
      <cx:txPr>
        <a:bodyPr spcFirstLastPara="1" vertOverflow="ellipsis" horzOverflow="overflow" wrap="square" lIns="0" tIns="0" rIns="0" bIns="0" anchor="ctr" anchorCtr="1"/>
        <a:lstStyle/>
        <a:p>
          <a:pPr algn="ctr" rtl="0">
            <a:defRPr/>
          </a:pPr>
          <a:endParaRPr lang="en-GB" sz="1400" b="0" i="0" u="none" strike="noStrike" baseline="0">
            <a:solidFill>
              <a:sysClr val="windowText" lastClr="000000">
                <a:lumMod val="65000"/>
                <a:lumOff val="35000"/>
              </a:sysClr>
            </a:solidFill>
            <a:latin typeface="Calibri" panose="020F0502020204030204"/>
          </a:endParaRPr>
        </a:p>
      </cx:txPr>
    </cx:title>
    <cx:plotArea>
      <cx:plotAreaRegion>
        <cx:series layoutId="funnel" uniqueId="{B27965E9-3E33-45F9-B08F-3C92C054377A}">
          <cx:dataLabels>
            <cx:visibility seriesName="0" categoryName="0" value="1"/>
          </cx:dataLabels>
          <cx:dataId val="0"/>
        </cx:series>
      </cx:plotAreaRegion>
      <cx:axis id="0">
        <cx:catScaling gapWidth="0.0599999987"/>
        <cx:tickLabels/>
      </cx:axis>
    </cx:plotArea>
  </cx:chart>
  <cx:spPr>
    <a:blipFill>
      <a:blip r:embed="rId1"/>
      <a:tile tx="0" ty="0" sx="100000" sy="100000" flip="none" algn="tl"/>
    </a:blipFill>
    <a:effectLst>
      <a:glow rad="63500">
        <a:schemeClr val="accent3">
          <a:satMod val="175000"/>
          <a:alpha val="40000"/>
        </a:schemeClr>
      </a:glo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_xlchart.v1.6</cx:f>
      </cx:numDim>
    </cx:data>
  </cx:chartData>
  <cx:chart>
    <cx:plotArea>
      <cx:plotAreaRegion>
        <cx:series layoutId="treemap" uniqueId="{61EDFDA1-BA88-4A16-ACD2-A63742768E35}">
          <cx:tx>
            <cx:txData>
              <cx:f>_xlchart.v1.5</cx:f>
              <cx:v>Healthcare Representative Human Resources Laboratory Technician Manager Manufacturing Director Research Director Research Scientist Sales Executive Sales Representative</cx:v>
            </cx:txData>
          </cx:tx>
          <cx:dataLabels>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title pos="t" align="ctr" overlay="0"/>
    <cx:plotArea>
      <cx:plotAreaRegion>
        <cx:series layoutId="funnel" uniqueId="{B27965E9-3E33-45F9-B08F-3C92C054377A}">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5.png"/><Relationship Id="rId18" Type="http://schemas.openxmlformats.org/officeDocument/2006/relationships/image" Target="../media/image9.png"/><Relationship Id="rId3" Type="http://schemas.openxmlformats.org/officeDocument/2006/relationships/image" Target="../media/image3.jpeg"/><Relationship Id="rId7" Type="http://schemas.openxmlformats.org/officeDocument/2006/relationships/chart" Target="../charts/chart3.xml"/><Relationship Id="rId12" Type="http://schemas.microsoft.com/office/2014/relationships/chartEx" Target="../charts/chartEx2.xml"/><Relationship Id="rId17" Type="http://schemas.openxmlformats.org/officeDocument/2006/relationships/image" Target="../media/image8.png"/><Relationship Id="rId2" Type="http://schemas.openxmlformats.org/officeDocument/2006/relationships/image" Target="../media/image2.jpeg"/><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image" Target="../media/image1.jpe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image" Target="../media/image4.jpeg"/><Relationship Id="rId15" Type="http://schemas.openxmlformats.org/officeDocument/2006/relationships/image" Target="../media/image6.png"/><Relationship Id="rId10" Type="http://schemas.openxmlformats.org/officeDocument/2006/relationships/chart" Target="../charts/chart5.xml"/><Relationship Id="rId19" Type="http://schemas.openxmlformats.org/officeDocument/2006/relationships/image" Target="../media/image10.png"/><Relationship Id="rId4" Type="http://schemas.openxmlformats.org/officeDocument/2006/relationships/chart" Target="../charts/chart1.xml"/><Relationship Id="rId9" Type="http://schemas.microsoft.com/office/2014/relationships/chartEx" Target="../charts/chartEx1.xml"/><Relationship Id="rId14" Type="http://schemas.microsoft.com/office/2007/relationships/hdphoto" Target="../media/hdphoto1.wdp"/></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1</xdr:col>
      <xdr:colOff>466165</xdr:colOff>
      <xdr:row>2</xdr:row>
      <xdr:rowOff>134472</xdr:rowOff>
    </xdr:from>
    <xdr:to>
      <xdr:col>21</xdr:col>
      <xdr:colOff>630892</xdr:colOff>
      <xdr:row>41</xdr:row>
      <xdr:rowOff>80697</xdr:rowOff>
    </xdr:to>
    <xdr:grpSp>
      <xdr:nvGrpSpPr>
        <xdr:cNvPr id="2" name="Group 1">
          <a:extLst>
            <a:ext uri="{FF2B5EF4-FFF2-40B4-BE49-F238E27FC236}">
              <a16:creationId xmlns:a16="http://schemas.microsoft.com/office/drawing/2014/main" id="{345AA7B4-5882-484E-B64B-5AD886548252}"/>
            </a:ext>
          </a:extLst>
        </xdr:cNvPr>
        <xdr:cNvGrpSpPr/>
      </xdr:nvGrpSpPr>
      <xdr:grpSpPr>
        <a:xfrm>
          <a:off x="1142133" y="527762"/>
          <a:ext cx="13684082" cy="7615387"/>
          <a:chOff x="1752600" y="190500"/>
          <a:chExt cx="13468350" cy="7776000"/>
        </a:xfrm>
      </xdr:grpSpPr>
      <xdr:sp macro="" textlink="">
        <xdr:nvSpPr>
          <xdr:cNvPr id="3" name="Rectangle: Rounded Corners 2">
            <a:extLst>
              <a:ext uri="{FF2B5EF4-FFF2-40B4-BE49-F238E27FC236}">
                <a16:creationId xmlns:a16="http://schemas.microsoft.com/office/drawing/2014/main" id="{5F066C00-75C8-FC81-B6D4-D24ADCB99159}"/>
              </a:ext>
            </a:extLst>
          </xdr:cNvPr>
          <xdr:cNvSpPr/>
        </xdr:nvSpPr>
        <xdr:spPr>
          <a:xfrm>
            <a:off x="1752600" y="190500"/>
            <a:ext cx="13468350" cy="7776000"/>
          </a:xfrm>
          <a:prstGeom prst="roundRect">
            <a:avLst>
              <a:gd name="adj" fmla="val 1112"/>
            </a:avLst>
          </a:prstGeom>
          <a:solidFill>
            <a:schemeClr val="bg1">
              <a:lumMod val="6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solidFill>
                  <a:srgbClr val="7030A0"/>
                </a:solidFill>
              </a:rPr>
              <a:t>`</a:t>
            </a:r>
          </a:p>
        </xdr:txBody>
      </xdr:sp>
      <xdr:sp macro="" textlink="">
        <xdr:nvSpPr>
          <xdr:cNvPr id="4" name="Rectangle: Rounded Corners 3">
            <a:extLst>
              <a:ext uri="{FF2B5EF4-FFF2-40B4-BE49-F238E27FC236}">
                <a16:creationId xmlns:a16="http://schemas.microsoft.com/office/drawing/2014/main" id="{58A372FA-7C57-D311-B8FB-00A548F62BBD}"/>
              </a:ext>
            </a:extLst>
          </xdr:cNvPr>
          <xdr:cNvSpPr/>
        </xdr:nvSpPr>
        <xdr:spPr>
          <a:xfrm>
            <a:off x="1852449" y="270899"/>
            <a:ext cx="7691601" cy="834001"/>
          </a:xfrm>
          <a:prstGeom prst="roundRect">
            <a:avLst>
              <a:gd name="adj" fmla="val 10000"/>
            </a:avLst>
          </a:prstGeom>
          <a:blipFill>
            <a:blip xmlns:r="http://schemas.openxmlformats.org/officeDocument/2006/relationships" r:embed="rId1"/>
            <a:tile tx="0" ty="0" sx="100000" sy="100000" flip="none" algn="tl"/>
          </a:blipFill>
          <a:ln/>
        </xdr:spPr>
        <xdr:style>
          <a:lnRef idx="1">
            <a:schemeClr val="accent3"/>
          </a:lnRef>
          <a:fillRef idx="2">
            <a:schemeClr val="accent3"/>
          </a:fillRef>
          <a:effectRef idx="1">
            <a:schemeClr val="accent3"/>
          </a:effectRef>
          <a:fontRef idx="minor">
            <a:schemeClr val="dk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r" defTabSz="914400" rtl="0" eaLnBrk="1" fontAlgn="auto" latinLnBrk="0" hangingPunct="1">
              <a:lnSpc>
                <a:spcPct val="100000"/>
              </a:lnSpc>
              <a:spcBef>
                <a:spcPts val="0"/>
              </a:spcBef>
              <a:spcAft>
                <a:spcPts val="0"/>
              </a:spcAft>
              <a:buClrTx/>
              <a:buSzTx/>
              <a:buFontTx/>
              <a:buNone/>
              <a:tabLst/>
              <a:defRPr/>
            </a:pPr>
            <a:r>
              <a:rPr lang="en-GB" sz="4400" kern="1200">
                <a:solidFill>
                  <a:schemeClr val="accent1">
                    <a:lumMod val="50000"/>
                  </a:schemeClr>
                </a:solidFill>
                <a:effectLst/>
                <a:latin typeface="Britannic Bold" panose="020B0903060703020204" pitchFamily="34" charset="0"/>
                <a:ea typeface="+mn-ea"/>
                <a:cs typeface="Times New Roman" panose="02020603050405020304" pitchFamily="18" charset="0"/>
              </a:rPr>
              <a:t>HR ANALYTICS DASHBOARD</a:t>
            </a:r>
            <a:endParaRPr lang="en-IN" sz="8000">
              <a:solidFill>
                <a:schemeClr val="accent1">
                  <a:lumMod val="50000"/>
                </a:schemeClr>
              </a:solidFill>
              <a:effectLst/>
              <a:latin typeface="Britannic Bold" panose="020B0903060703020204" pitchFamily="34" charset="0"/>
              <a:cs typeface="Times New Roman" panose="02020603050405020304" pitchFamily="18" charset="0"/>
            </a:endParaRPr>
          </a:p>
        </xdr:txBody>
      </xdr:sp>
      <xdr:sp macro="" textlink="">
        <xdr:nvSpPr>
          <xdr:cNvPr id="5" name="Rectangle: Rounded Corners 4">
            <a:extLst>
              <a:ext uri="{FF2B5EF4-FFF2-40B4-BE49-F238E27FC236}">
                <a16:creationId xmlns:a16="http://schemas.microsoft.com/office/drawing/2014/main" id="{A00BAF2D-696D-EA76-B2B3-D3D1B7196CB0}"/>
              </a:ext>
            </a:extLst>
          </xdr:cNvPr>
          <xdr:cNvSpPr/>
        </xdr:nvSpPr>
        <xdr:spPr>
          <a:xfrm>
            <a:off x="9658349" y="270898"/>
            <a:ext cx="5479442" cy="887034"/>
          </a:xfrm>
          <a:prstGeom prst="roundRect">
            <a:avLst>
              <a:gd name="adj" fmla="val 10000"/>
            </a:avLst>
          </a:prstGeom>
          <a:blipFill>
            <a:blip xmlns:r="http://schemas.openxmlformats.org/officeDocument/2006/relationships" r:embed="rId2"/>
            <a:tile tx="0" ty="0" sx="100000" sy="100000" flip="none" algn="tl"/>
          </a:blipFill>
          <a:ln/>
        </xdr:spPr>
        <xdr:style>
          <a:lnRef idx="1">
            <a:schemeClr val="accent3"/>
          </a:lnRef>
          <a:fillRef idx="2">
            <a:schemeClr val="accent3"/>
          </a:fillRef>
          <a:effectRef idx="1">
            <a:schemeClr val="accent3"/>
          </a:effectRef>
          <a:fontRef idx="minor">
            <a:schemeClr val="dk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GB" sz="2800" kern="1200">
                <a:solidFill>
                  <a:schemeClr val="accent1">
                    <a:lumMod val="50000"/>
                  </a:schemeClr>
                </a:solidFill>
                <a:effectLst/>
                <a:latin typeface="Britannic Bold" panose="020B0903060703020204" pitchFamily="34" charset="0"/>
                <a:ea typeface="+mn-ea"/>
                <a:cs typeface="Times New Roman" panose="02020603050405020304" pitchFamily="18" charset="0"/>
              </a:rPr>
              <a:t>JOB SATISFACTION RATING</a:t>
            </a:r>
            <a:endParaRPr lang="en-IN" sz="2800">
              <a:solidFill>
                <a:schemeClr val="accent1">
                  <a:lumMod val="50000"/>
                </a:schemeClr>
              </a:solidFill>
              <a:effectLst/>
              <a:latin typeface="Britannic Bold" panose="020B0903060703020204" pitchFamily="34" charset="0"/>
              <a:cs typeface="Times New Roman" panose="02020603050405020304" pitchFamily="18" charset="0"/>
            </a:endParaRPr>
          </a:p>
        </xdr:txBody>
      </xdr:sp>
      <xdr:sp macro="" textlink="">
        <xdr:nvSpPr>
          <xdr:cNvPr id="6" name="Rectangle: Rounded Corners 5">
            <a:extLst>
              <a:ext uri="{FF2B5EF4-FFF2-40B4-BE49-F238E27FC236}">
                <a16:creationId xmlns:a16="http://schemas.microsoft.com/office/drawing/2014/main" id="{D20EA581-AADC-86E0-5D2C-529A1A52B5E3}"/>
              </a:ext>
            </a:extLst>
          </xdr:cNvPr>
          <xdr:cNvSpPr/>
        </xdr:nvSpPr>
        <xdr:spPr>
          <a:xfrm>
            <a:off x="5819774" y="2304895"/>
            <a:ext cx="4819651" cy="2772878"/>
          </a:xfrm>
          <a:prstGeom prst="roundRect">
            <a:avLst>
              <a:gd name="adj" fmla="val 3303"/>
            </a:avLst>
          </a:prstGeom>
          <a:blipFill>
            <a:blip xmlns:r="http://schemas.openxmlformats.org/officeDocument/2006/relationships" r:embed="rId3"/>
            <a:tile tx="0" ty="0" sx="100000" sy="100000" flip="none" algn="tl"/>
          </a:bli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000">
                <a:solidFill>
                  <a:schemeClr val="accent1">
                    <a:lumMod val="50000"/>
                  </a:schemeClr>
                </a:solidFill>
                <a:latin typeface="Britannic Bold" panose="020B0903060703020204" pitchFamily="34" charset="0"/>
              </a:rPr>
              <a:t>ATTRITION</a:t>
            </a:r>
            <a:r>
              <a:rPr lang="en-IN" sz="2000" baseline="0">
                <a:solidFill>
                  <a:schemeClr val="accent1">
                    <a:lumMod val="50000"/>
                  </a:schemeClr>
                </a:solidFill>
                <a:latin typeface="Britannic Bold" panose="020B0903060703020204" pitchFamily="34" charset="0"/>
              </a:rPr>
              <a:t> BY EDUCATION</a:t>
            </a:r>
            <a:endParaRPr lang="en-IN" sz="2000">
              <a:solidFill>
                <a:schemeClr val="accent1">
                  <a:lumMod val="50000"/>
                </a:schemeClr>
              </a:solidFill>
              <a:latin typeface="Britannic Bold" panose="020B0903060703020204" pitchFamily="34" charset="0"/>
            </a:endParaRPr>
          </a:p>
        </xdr:txBody>
      </xdr:sp>
      <xdr:grpSp>
        <xdr:nvGrpSpPr>
          <xdr:cNvPr id="7" name="Group 6">
            <a:extLst>
              <a:ext uri="{FF2B5EF4-FFF2-40B4-BE49-F238E27FC236}">
                <a16:creationId xmlns:a16="http://schemas.microsoft.com/office/drawing/2014/main" id="{7D63FB06-9E89-CA9F-5E6C-068757E8EB6E}"/>
              </a:ext>
            </a:extLst>
          </xdr:cNvPr>
          <xdr:cNvGrpSpPr/>
        </xdr:nvGrpSpPr>
        <xdr:grpSpPr>
          <a:xfrm>
            <a:off x="1846116" y="1215714"/>
            <a:ext cx="13289109" cy="998849"/>
            <a:chOff x="1846116" y="1215714"/>
            <a:chExt cx="13403409" cy="998849"/>
          </a:xfrm>
        </xdr:grpSpPr>
        <xdr:sp macro="" textlink="">
          <xdr:nvSpPr>
            <xdr:cNvPr id="22" name="Rectangle: Rounded Corners 21">
              <a:extLst>
                <a:ext uri="{FF2B5EF4-FFF2-40B4-BE49-F238E27FC236}">
                  <a16:creationId xmlns:a16="http://schemas.microsoft.com/office/drawing/2014/main" id="{E6FA0431-7B62-EF33-DB76-AB71BA3DD15F}"/>
                </a:ext>
              </a:extLst>
            </xdr:cNvPr>
            <xdr:cNvSpPr/>
          </xdr:nvSpPr>
          <xdr:spPr>
            <a:xfrm>
              <a:off x="1846116" y="1215714"/>
              <a:ext cx="2602058" cy="998849"/>
            </a:xfrm>
            <a:prstGeom prst="roundRect">
              <a:avLst>
                <a:gd name="adj" fmla="val 6048"/>
              </a:avLst>
            </a:prstGeom>
            <a:blipFill>
              <a:blip xmlns:r="http://schemas.openxmlformats.org/officeDocument/2006/relationships" r:embed="rId3"/>
              <a:tile tx="0" ty="0" sx="100000" sy="100000" flip="none" algn="tl"/>
            </a:blipFill>
            <a:ln/>
          </xdr:spPr>
          <xdr:style>
            <a:lnRef idx="1">
              <a:schemeClr val="accent3"/>
            </a:lnRef>
            <a:fillRef idx="2">
              <a:schemeClr val="accent3"/>
            </a:fillRef>
            <a:effectRef idx="1">
              <a:schemeClr val="accent3"/>
            </a:effectRef>
            <a:fontRef idx="minor">
              <a:schemeClr val="dk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2000" kern="1200">
                  <a:solidFill>
                    <a:schemeClr val="accent1">
                      <a:lumMod val="50000"/>
                    </a:schemeClr>
                  </a:solidFill>
                  <a:effectLst/>
                  <a:latin typeface="Britannic Bold" panose="020B0903060703020204" pitchFamily="34" charset="0"/>
                  <a:ea typeface="+mn-ea"/>
                  <a:cs typeface="+mn-cs"/>
                </a:rPr>
                <a:t>TOTAL EMPLOYEES</a:t>
              </a:r>
              <a:endParaRPr lang="en-IN" sz="2000">
                <a:solidFill>
                  <a:schemeClr val="accent1">
                    <a:lumMod val="50000"/>
                  </a:schemeClr>
                </a:solidFill>
                <a:effectLst/>
                <a:latin typeface="Britannic Bold" panose="020B0903060703020204" pitchFamily="34" charset="0"/>
              </a:endParaRPr>
            </a:p>
          </xdr:txBody>
        </xdr:sp>
        <xdr:sp macro="" textlink="">
          <xdr:nvSpPr>
            <xdr:cNvPr id="23" name="Rectangle: Rounded Corners 22">
              <a:extLst>
                <a:ext uri="{FF2B5EF4-FFF2-40B4-BE49-F238E27FC236}">
                  <a16:creationId xmlns:a16="http://schemas.microsoft.com/office/drawing/2014/main" id="{ED064606-68B3-8694-0F87-BE469D60179C}"/>
                </a:ext>
              </a:extLst>
            </xdr:cNvPr>
            <xdr:cNvSpPr/>
          </xdr:nvSpPr>
          <xdr:spPr>
            <a:xfrm>
              <a:off x="4546454" y="1215714"/>
              <a:ext cx="2602058" cy="998848"/>
            </a:xfrm>
            <a:prstGeom prst="roundRect">
              <a:avLst>
                <a:gd name="adj" fmla="val 6048"/>
              </a:avLst>
            </a:prstGeom>
            <a:blipFill>
              <a:blip xmlns:r="http://schemas.openxmlformats.org/officeDocument/2006/relationships" r:embed="rId3"/>
              <a:tile tx="0" ty="0" sx="100000" sy="100000" flip="none" algn="tl"/>
            </a:blipFill>
            <a:ln/>
            <a:effectLst>
              <a:outerShdw blurRad="50800" dist="38100" algn="l"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400">
                  <a:solidFill>
                    <a:schemeClr val="accent1">
                      <a:lumMod val="50000"/>
                    </a:schemeClr>
                  </a:solidFill>
                  <a:latin typeface="Britannic Bold" panose="020B0903060703020204" pitchFamily="34" charset="0"/>
                </a:rPr>
                <a:t>ATTRITION</a:t>
              </a:r>
            </a:p>
          </xdr:txBody>
        </xdr:sp>
        <xdr:sp macro="" textlink="">
          <xdr:nvSpPr>
            <xdr:cNvPr id="24" name="Rectangle: Rounded Corners 23">
              <a:extLst>
                <a:ext uri="{FF2B5EF4-FFF2-40B4-BE49-F238E27FC236}">
                  <a16:creationId xmlns:a16="http://schemas.microsoft.com/office/drawing/2014/main" id="{CDE12583-E3B3-80C9-43DE-EA31391ED18E}"/>
                </a:ext>
              </a:extLst>
            </xdr:cNvPr>
            <xdr:cNvSpPr/>
          </xdr:nvSpPr>
          <xdr:spPr>
            <a:xfrm>
              <a:off x="7246792" y="1215714"/>
              <a:ext cx="2602058" cy="998848"/>
            </a:xfrm>
            <a:prstGeom prst="roundRect">
              <a:avLst>
                <a:gd name="adj" fmla="val 6048"/>
              </a:avLst>
            </a:prstGeom>
            <a:blipFill>
              <a:blip xmlns:r="http://schemas.openxmlformats.org/officeDocument/2006/relationships" r:embed="rId3"/>
              <a:tile tx="0" ty="0" sx="100000" sy="100000" flip="none" algn="tl"/>
            </a:blipFill>
            <a:ln/>
          </xdr:spPr>
          <xdr:style>
            <a:lnRef idx="1">
              <a:schemeClr val="accent3"/>
            </a:lnRef>
            <a:fillRef idx="2">
              <a:schemeClr val="accent3"/>
            </a:fillRef>
            <a:effectRef idx="1">
              <a:schemeClr val="accent3"/>
            </a:effectRef>
            <a:fontRef idx="minor">
              <a:schemeClr val="dk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000">
                  <a:solidFill>
                    <a:schemeClr val="accent1">
                      <a:lumMod val="50000"/>
                    </a:schemeClr>
                  </a:solidFill>
                  <a:latin typeface="Britannic Bold" panose="020B0903060703020204" pitchFamily="34" charset="0"/>
                </a:rPr>
                <a:t>ACTIVE</a:t>
              </a:r>
              <a:r>
                <a:rPr lang="en-IN" sz="2000" baseline="0">
                  <a:solidFill>
                    <a:schemeClr val="accent1">
                      <a:lumMod val="50000"/>
                    </a:schemeClr>
                  </a:solidFill>
                  <a:latin typeface="Britannic Bold" panose="020B0903060703020204" pitchFamily="34" charset="0"/>
                </a:rPr>
                <a:t> EMPLOYEE</a:t>
              </a:r>
              <a:endParaRPr lang="en-IN">
                <a:solidFill>
                  <a:schemeClr val="accent1">
                    <a:lumMod val="50000"/>
                  </a:schemeClr>
                </a:solidFill>
                <a:latin typeface="Britannic Bold" panose="020B0903060703020204" pitchFamily="34" charset="0"/>
              </a:endParaRPr>
            </a:p>
          </xdr:txBody>
        </xdr:sp>
        <xdr:sp macro="" textlink="">
          <xdr:nvSpPr>
            <xdr:cNvPr id="25" name="Rectangle: Rounded Corners 24">
              <a:extLst>
                <a:ext uri="{FF2B5EF4-FFF2-40B4-BE49-F238E27FC236}">
                  <a16:creationId xmlns:a16="http://schemas.microsoft.com/office/drawing/2014/main" id="{E09C4E17-FF58-9C3D-0C55-4158F09B3349}"/>
                </a:ext>
              </a:extLst>
            </xdr:cNvPr>
            <xdr:cNvSpPr/>
          </xdr:nvSpPr>
          <xdr:spPr>
            <a:xfrm>
              <a:off x="9947130" y="1215714"/>
              <a:ext cx="2602058" cy="998848"/>
            </a:xfrm>
            <a:prstGeom prst="roundRect">
              <a:avLst>
                <a:gd name="adj" fmla="val 6048"/>
              </a:avLst>
            </a:prstGeom>
            <a:blipFill>
              <a:blip xmlns:r="http://schemas.openxmlformats.org/officeDocument/2006/relationships" r:embed="rId3"/>
              <a:tile tx="0" ty="0" sx="100000" sy="100000" flip="none" algn="tl"/>
            </a:blipFill>
            <a:ln/>
          </xdr:spPr>
          <xdr:style>
            <a:lnRef idx="1">
              <a:schemeClr val="accent3"/>
            </a:lnRef>
            <a:fillRef idx="2">
              <a:schemeClr val="accent3"/>
            </a:fillRef>
            <a:effectRef idx="1">
              <a:schemeClr val="accent3"/>
            </a:effectRef>
            <a:fontRef idx="minor">
              <a:schemeClr val="dk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000">
                  <a:solidFill>
                    <a:schemeClr val="accent1">
                      <a:lumMod val="50000"/>
                    </a:schemeClr>
                  </a:solidFill>
                  <a:latin typeface="Britannic Bold" panose="020B0903060703020204" pitchFamily="34" charset="0"/>
                </a:rPr>
                <a:t>ATTRITION</a:t>
              </a:r>
              <a:r>
                <a:rPr lang="en-IN" sz="2000" baseline="0">
                  <a:solidFill>
                    <a:srgbClr val="7030A0"/>
                  </a:solidFill>
                  <a:latin typeface="Britannic Bold" panose="020B0903060703020204" pitchFamily="34" charset="0"/>
                </a:rPr>
                <a:t> </a:t>
              </a:r>
              <a:r>
                <a:rPr lang="en-IN" sz="2000" baseline="0">
                  <a:solidFill>
                    <a:schemeClr val="accent1">
                      <a:lumMod val="50000"/>
                    </a:schemeClr>
                  </a:solidFill>
                  <a:latin typeface="Britannic Bold" panose="020B0903060703020204" pitchFamily="34" charset="0"/>
                </a:rPr>
                <a:t>RATE</a:t>
              </a:r>
              <a:endParaRPr lang="en-IN" sz="2000">
                <a:solidFill>
                  <a:schemeClr val="accent1">
                    <a:lumMod val="50000"/>
                  </a:schemeClr>
                </a:solidFill>
                <a:latin typeface="Britannic Bold" panose="020B0903060703020204" pitchFamily="34" charset="0"/>
              </a:endParaRPr>
            </a:p>
          </xdr:txBody>
        </xdr:sp>
        <xdr:sp macro="" textlink="">
          <xdr:nvSpPr>
            <xdr:cNvPr id="26" name="Rectangle: Rounded Corners 25">
              <a:extLst>
                <a:ext uri="{FF2B5EF4-FFF2-40B4-BE49-F238E27FC236}">
                  <a16:creationId xmlns:a16="http://schemas.microsoft.com/office/drawing/2014/main" id="{E343BA08-4352-A9F3-718A-BDF6CA894731}"/>
                </a:ext>
              </a:extLst>
            </xdr:cNvPr>
            <xdr:cNvSpPr/>
          </xdr:nvSpPr>
          <xdr:spPr>
            <a:xfrm>
              <a:off x="12647467" y="1215714"/>
              <a:ext cx="2602058" cy="998848"/>
            </a:xfrm>
            <a:prstGeom prst="roundRect">
              <a:avLst>
                <a:gd name="adj" fmla="val 6048"/>
              </a:avLst>
            </a:prstGeom>
            <a:blipFill>
              <a:blip xmlns:r="http://schemas.openxmlformats.org/officeDocument/2006/relationships" r:embed="rId3"/>
              <a:tile tx="0" ty="0" sx="100000" sy="100000" flip="none" algn="tl"/>
            </a:blipFill>
            <a:ln/>
          </xdr:spPr>
          <xdr:style>
            <a:lnRef idx="1">
              <a:schemeClr val="accent3"/>
            </a:lnRef>
            <a:fillRef idx="2">
              <a:schemeClr val="accent3"/>
            </a:fillRef>
            <a:effectRef idx="1">
              <a:schemeClr val="accent3"/>
            </a:effectRef>
            <a:fontRef idx="minor">
              <a:schemeClr val="dk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solidFill>
                    <a:schemeClr val="accent1">
                      <a:lumMod val="50000"/>
                    </a:schemeClr>
                  </a:solidFill>
                  <a:latin typeface="Britannic Bold" panose="020B0903060703020204" pitchFamily="34" charset="0"/>
                </a:rPr>
                <a:t>AVERAGE AGE</a:t>
              </a:r>
            </a:p>
          </xdr:txBody>
        </xdr:sp>
      </xdr:grpSp>
      <xdr:grpSp>
        <xdr:nvGrpSpPr>
          <xdr:cNvPr id="8" name="Group 7">
            <a:extLst>
              <a:ext uri="{FF2B5EF4-FFF2-40B4-BE49-F238E27FC236}">
                <a16:creationId xmlns:a16="http://schemas.microsoft.com/office/drawing/2014/main" id="{A3C7E1E9-312F-DAF7-9F41-B9772E8E0886}"/>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5EE2B4A-52AE-335B-C9EE-F905C379FF8A}"/>
                </a:ext>
              </a:extLst>
            </xdr:cNvPr>
            <xdr:cNvSpPr/>
          </xdr:nvSpPr>
          <xdr:spPr>
            <a:xfrm>
              <a:off x="1847145" y="2304895"/>
              <a:ext cx="3867930" cy="2772878"/>
            </a:xfrm>
            <a:prstGeom prst="roundRect">
              <a:avLst>
                <a:gd name="adj" fmla="val 3303"/>
              </a:avLst>
            </a:prstGeom>
            <a:blipFill>
              <a:blip xmlns:r="http://schemas.openxmlformats.org/officeDocument/2006/relationships" r:embed="rId3"/>
              <a:tile tx="0" ty="0" sx="100000" sy="100000" flip="none" algn="tl"/>
            </a:bli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000">
                  <a:solidFill>
                    <a:schemeClr val="accent1">
                      <a:lumMod val="50000"/>
                    </a:schemeClr>
                  </a:solidFill>
                  <a:latin typeface="Britannic Bold" panose="020B0903060703020204" pitchFamily="34" charset="0"/>
                </a:rPr>
                <a:t>ATTRITION BY DEPARTMENT</a:t>
              </a:r>
            </a:p>
          </xdr:txBody>
        </xdr:sp>
        <xdr:cxnSp macro="">
          <xdr:nvCxnSpPr>
            <xdr:cNvPr id="21" name="Straight Connector 20">
              <a:extLst>
                <a:ext uri="{FF2B5EF4-FFF2-40B4-BE49-F238E27FC236}">
                  <a16:creationId xmlns:a16="http://schemas.microsoft.com/office/drawing/2014/main" id="{7BF291B0-B9C2-460A-88FC-8011425703F9}"/>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494DD3D5-EAA4-3FB9-9B0D-B3407AB79EC0}"/>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D260FD59-050F-1E66-3A87-2130DE0A9EAD}"/>
              </a:ext>
            </a:extLst>
          </xdr:cNvPr>
          <xdr:cNvSpPr/>
        </xdr:nvSpPr>
        <xdr:spPr>
          <a:xfrm>
            <a:off x="10770809" y="2304895"/>
            <a:ext cx="4381501" cy="2772878"/>
          </a:xfrm>
          <a:prstGeom prst="roundRect">
            <a:avLst>
              <a:gd name="adj" fmla="val 3303"/>
            </a:avLst>
          </a:prstGeom>
          <a:blipFill>
            <a:blip xmlns:r="http://schemas.openxmlformats.org/officeDocument/2006/relationships" r:embed="rId3"/>
            <a:tile tx="0" ty="0" sx="100000" sy="100000" flip="none" algn="tl"/>
          </a:bli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000" b="0" cap="none" spc="0">
                <a:ln w="0"/>
                <a:solidFill>
                  <a:srgbClr val="002060"/>
                </a:solidFill>
                <a:effectLst>
                  <a:outerShdw blurRad="38100" dist="25400" dir="5400000" algn="ctr" rotWithShape="0">
                    <a:srgbClr val="6E747A">
                      <a:alpha val="43000"/>
                    </a:srgbClr>
                  </a:outerShdw>
                </a:effectLst>
                <a:latin typeface="Britannic Bold" panose="020B0903060703020204" pitchFamily="34" charset="0"/>
              </a:rPr>
              <a:t>ATTRITION</a:t>
            </a:r>
            <a:r>
              <a:rPr lang="en-IN" sz="2000" b="0" cap="none" spc="0" baseline="0">
                <a:ln w="0"/>
                <a:solidFill>
                  <a:srgbClr val="002060"/>
                </a:solidFill>
                <a:effectLst>
                  <a:outerShdw blurRad="38100" dist="25400" dir="5400000" algn="ctr" rotWithShape="0">
                    <a:srgbClr val="6E747A">
                      <a:alpha val="43000"/>
                    </a:srgbClr>
                  </a:outerShdw>
                </a:effectLst>
                <a:latin typeface="Britannic Bold" panose="020B0903060703020204" pitchFamily="34" charset="0"/>
              </a:rPr>
              <a:t> BY JOB ROLE</a:t>
            </a:r>
            <a:endParaRPr lang="en-IN" sz="2000" b="0" cap="none" spc="0">
              <a:ln w="0"/>
              <a:solidFill>
                <a:srgbClr val="002060"/>
              </a:solidFill>
              <a:effectLst>
                <a:outerShdw blurRad="38100" dist="25400" dir="5400000" algn="ctr" rotWithShape="0">
                  <a:srgbClr val="6E747A">
                    <a:alpha val="43000"/>
                  </a:srgbClr>
                </a:outerShdw>
              </a:effectLst>
              <a:latin typeface="Britannic Bold" panose="020B0903060703020204" pitchFamily="34" charset="0"/>
            </a:endParaRPr>
          </a:p>
        </xdr:txBody>
      </xdr:sp>
      <xdr:cxnSp macro="">
        <xdr:nvCxnSpPr>
          <xdr:cNvPr id="11" name="Straight Connector 10">
            <a:extLst>
              <a:ext uri="{FF2B5EF4-FFF2-40B4-BE49-F238E27FC236}">
                <a16:creationId xmlns:a16="http://schemas.microsoft.com/office/drawing/2014/main" id="{59418708-2A6A-B509-6C7B-082C7900AE7F}"/>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7087576F-0094-4F1F-981E-42140DAFEB01}"/>
              </a:ext>
            </a:extLst>
          </xdr:cNvPr>
          <xdr:cNvSpPr/>
        </xdr:nvSpPr>
        <xdr:spPr>
          <a:xfrm>
            <a:off x="1847145" y="2314575"/>
            <a:ext cx="3867930" cy="2754668"/>
          </a:xfrm>
          <a:prstGeom prst="roundRect">
            <a:avLst>
              <a:gd name="adj" fmla="val 3303"/>
            </a:avLst>
          </a:prstGeom>
          <a:blipFill>
            <a:blip xmlns:r="http://schemas.openxmlformats.org/officeDocument/2006/relationships" r:embed="rId3"/>
            <a:tile tx="0" ty="0" sx="100000" sy="100000" flip="none" algn="tl"/>
          </a:blipFill>
          <a:ln/>
        </xdr:spPr>
        <xdr:style>
          <a:lnRef idx="1">
            <a:schemeClr val="accent3"/>
          </a:lnRef>
          <a:fillRef idx="2">
            <a:schemeClr val="accent3"/>
          </a:fillRef>
          <a:effectRef idx="1">
            <a:schemeClr val="accent3"/>
          </a:effectRef>
          <a:fontRef idx="minor">
            <a:schemeClr val="dk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000">
                <a:solidFill>
                  <a:schemeClr val="accent1">
                    <a:lumMod val="50000"/>
                  </a:schemeClr>
                </a:solidFill>
                <a:latin typeface="Britannic Bold" panose="020B0903060703020204" pitchFamily="34" charset="0"/>
              </a:rPr>
              <a:t>TOTAL EMPLOYEES BY GENDER</a:t>
            </a:r>
            <a:endParaRPr lang="en-IN" sz="2400">
              <a:solidFill>
                <a:schemeClr val="accent1">
                  <a:lumMod val="50000"/>
                </a:schemeClr>
              </a:solidFill>
              <a:latin typeface="Britannic Bold" panose="020B0903060703020204" pitchFamily="34" charset="0"/>
            </a:endParaRPr>
          </a:p>
        </xdr:txBody>
      </xdr:sp>
      <xdr:cxnSp macro="">
        <xdr:nvCxnSpPr>
          <xdr:cNvPr id="13" name="Straight Connector 12">
            <a:extLst>
              <a:ext uri="{FF2B5EF4-FFF2-40B4-BE49-F238E27FC236}">
                <a16:creationId xmlns:a16="http://schemas.microsoft.com/office/drawing/2014/main" id="{FD537083-C628-04AB-14AD-1C8D4D0E7898}"/>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C5EE083-E722-0266-5BED-D1EDAA9E5EB5}"/>
              </a:ext>
            </a:extLst>
          </xdr:cNvPr>
          <xdr:cNvSpPr/>
        </xdr:nvSpPr>
        <xdr:spPr>
          <a:xfrm>
            <a:off x="5809545" y="5162550"/>
            <a:ext cx="3564000" cy="2709509"/>
          </a:xfrm>
          <a:prstGeom prst="roundRect">
            <a:avLst>
              <a:gd name="adj" fmla="val 3303"/>
            </a:avLst>
          </a:prstGeom>
          <a:blipFill>
            <a:blip xmlns:r="http://schemas.openxmlformats.org/officeDocument/2006/relationships" r:embed="rId3"/>
            <a:tile tx="0" ty="0" sx="100000" sy="100000" flip="none" algn="tl"/>
          </a:bli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000">
                <a:solidFill>
                  <a:schemeClr val="accent1">
                    <a:lumMod val="50000"/>
                  </a:schemeClr>
                </a:solidFill>
                <a:latin typeface="Britannic Bold" panose="020B0903060703020204" pitchFamily="34" charset="0"/>
              </a:rPr>
              <a:t>ATTRITION BY AGE GROUP</a:t>
            </a:r>
          </a:p>
        </xdr:txBody>
      </xdr:sp>
      <xdr:cxnSp macro="">
        <xdr:nvCxnSpPr>
          <xdr:cNvPr id="15" name="Straight Connector 14">
            <a:extLst>
              <a:ext uri="{FF2B5EF4-FFF2-40B4-BE49-F238E27FC236}">
                <a16:creationId xmlns:a16="http://schemas.microsoft.com/office/drawing/2014/main" id="{495CB7AD-5090-0F1F-0503-504ED4E74FAC}"/>
              </a:ext>
            </a:extLst>
          </xdr:cNvPr>
          <xdr:cNvCxnSpPr>
            <a:cxnSpLocks/>
          </xdr:cNvCxnSpPr>
        </xdr:nvCxnSpPr>
        <xdr:spPr>
          <a:xfrm flipV="1">
            <a:off x="6045050" y="5533627"/>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0DC053C-0A24-65DB-8D52-D900AC79C336}"/>
              </a:ext>
            </a:extLst>
          </xdr:cNvPr>
          <xdr:cNvSpPr/>
        </xdr:nvSpPr>
        <xdr:spPr>
          <a:xfrm>
            <a:off x="9467145" y="5162550"/>
            <a:ext cx="2844000" cy="2700000"/>
          </a:xfrm>
          <a:prstGeom prst="roundRect">
            <a:avLst>
              <a:gd name="adj" fmla="val 3303"/>
            </a:avLst>
          </a:prstGeom>
          <a:blipFill>
            <a:blip xmlns:r="http://schemas.openxmlformats.org/officeDocument/2006/relationships" r:embed="rId3"/>
            <a:tile tx="0" ty="0" sx="100000" sy="100000" flip="none" algn="tl"/>
          </a:bli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1400" b="0">
                <a:solidFill>
                  <a:schemeClr val="accent1">
                    <a:lumMod val="50000"/>
                  </a:schemeClr>
                </a:solidFill>
                <a:latin typeface="Britannic Bold" panose="020B0903060703020204" pitchFamily="34" charset="0"/>
              </a:rPr>
              <a:t>ATTRITION BY MARITAL STATUS</a:t>
            </a:r>
          </a:p>
        </xdr:txBody>
      </xdr:sp>
      <xdr:cxnSp macro="">
        <xdr:nvCxnSpPr>
          <xdr:cNvPr id="17" name="Straight Connector 16">
            <a:extLst>
              <a:ext uri="{FF2B5EF4-FFF2-40B4-BE49-F238E27FC236}">
                <a16:creationId xmlns:a16="http://schemas.microsoft.com/office/drawing/2014/main" id="{9C44E314-72EE-0D54-1D55-FAE94EDE5D3F}"/>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98EF69-0F0F-B7B1-FEA4-4ECBE79CAC4E}"/>
              </a:ext>
            </a:extLst>
          </xdr:cNvPr>
          <xdr:cNvSpPr/>
        </xdr:nvSpPr>
        <xdr:spPr>
          <a:xfrm>
            <a:off x="12419895" y="5162550"/>
            <a:ext cx="2700000" cy="2700000"/>
          </a:xfrm>
          <a:prstGeom prst="roundRect">
            <a:avLst>
              <a:gd name="adj" fmla="val 3303"/>
            </a:avLst>
          </a:prstGeom>
          <a:blipFill>
            <a:blip xmlns:r="http://schemas.openxmlformats.org/officeDocument/2006/relationships" r:embed="rId3"/>
            <a:tile tx="0" ty="0" sx="100000" sy="100000" flip="none" algn="tl"/>
          </a:bli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7030A0"/>
              </a:solidFill>
            </a:endParaRPr>
          </a:p>
        </xdr:txBody>
      </xdr:sp>
      <xdr:cxnSp macro="">
        <xdr:nvCxnSpPr>
          <xdr:cNvPr id="19" name="Straight Connector 18">
            <a:extLst>
              <a:ext uri="{FF2B5EF4-FFF2-40B4-BE49-F238E27FC236}">
                <a16:creationId xmlns:a16="http://schemas.microsoft.com/office/drawing/2014/main" id="{09CCBB15-40E8-85CB-A5C5-CE5F2ED49AB9}"/>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69272</xdr:colOff>
      <xdr:row>3</xdr:row>
      <xdr:rowOff>17929</xdr:rowOff>
    </xdr:from>
    <xdr:to>
      <xdr:col>21</xdr:col>
      <xdr:colOff>466166</xdr:colOff>
      <xdr:row>7</xdr:row>
      <xdr:rowOff>89647</xdr:rowOff>
    </xdr:to>
    <xdr:graphicFrame macro="">
      <xdr:nvGraphicFramePr>
        <xdr:cNvPr id="27" name="Chart 26">
          <a:extLst>
            <a:ext uri="{FF2B5EF4-FFF2-40B4-BE49-F238E27FC236}">
              <a16:creationId xmlns:a16="http://schemas.microsoft.com/office/drawing/2014/main" id="{F2294290-B44C-4D08-8FD2-3184AE74D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318726</xdr:colOff>
      <xdr:row>4</xdr:row>
      <xdr:rowOff>44824</xdr:rowOff>
    </xdr:from>
    <xdr:to>
      <xdr:col>21</xdr:col>
      <xdr:colOff>202185</xdr:colOff>
      <xdr:row>6</xdr:row>
      <xdr:rowOff>80683</xdr:rowOff>
    </xdr:to>
    <xdr:sp macro="" textlink="rating!$B$8">
      <xdr:nvSpPr>
        <xdr:cNvPr id="28" name="Flowchart: Connector 27">
          <a:extLst>
            <a:ext uri="{FF2B5EF4-FFF2-40B4-BE49-F238E27FC236}">
              <a16:creationId xmlns:a16="http://schemas.microsoft.com/office/drawing/2014/main" id="{412CEF66-98CD-4CB1-A9C7-45C2162D548D}"/>
            </a:ext>
          </a:extLst>
        </xdr:cNvPr>
        <xdr:cNvSpPr/>
      </xdr:nvSpPr>
      <xdr:spPr>
        <a:xfrm>
          <a:off x="13653726" y="861253"/>
          <a:ext cx="550209" cy="444073"/>
        </a:xfrm>
        <a:prstGeom prst="flowChartConnector">
          <a:avLst/>
        </a:prstGeom>
        <a:blipFill>
          <a:blip xmlns:r="http://schemas.openxmlformats.org/officeDocument/2006/relationships" r:embed="rId5"/>
          <a:tile tx="0" ty="0" sx="100000" sy="100000" flip="none" algn="tl"/>
        </a:blip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fld id="{DC8A870E-BA17-449B-9A7D-71FF94176656}" type="TxLink">
            <a:rPr lang="en-US" sz="1200" b="1" i="0" u="none" strike="noStrike">
              <a:solidFill>
                <a:srgbClr val="000000"/>
              </a:solidFill>
              <a:latin typeface="Calibri"/>
              <a:ea typeface="Calibri"/>
              <a:cs typeface="Calibri"/>
            </a:rPr>
            <a:pPr algn="ctr"/>
            <a:t>2.6</a:t>
          </a:fld>
          <a:endParaRPr lang="en-IN" sz="1100" b="1"/>
        </a:p>
      </xdr:txBody>
    </xdr:sp>
    <xdr:clientData/>
  </xdr:twoCellAnchor>
  <xdr:twoCellAnchor>
    <xdr:from>
      <xdr:col>2</xdr:col>
      <xdr:colOff>435012</xdr:colOff>
      <xdr:row>9</xdr:row>
      <xdr:rowOff>161365</xdr:rowOff>
    </xdr:from>
    <xdr:to>
      <xdr:col>4</xdr:col>
      <xdr:colOff>668098</xdr:colOff>
      <xdr:row>12</xdr:row>
      <xdr:rowOff>107577</xdr:rowOff>
    </xdr:to>
    <xdr:sp macro="" textlink="kpi!A6">
      <xdr:nvSpPr>
        <xdr:cNvPr id="29" name="Rectangle: Rounded Corners 28">
          <a:extLst>
            <a:ext uri="{FF2B5EF4-FFF2-40B4-BE49-F238E27FC236}">
              <a16:creationId xmlns:a16="http://schemas.microsoft.com/office/drawing/2014/main" id="{B478FD88-C89C-46D4-966D-44617F96BF0E}"/>
            </a:ext>
          </a:extLst>
        </xdr:cNvPr>
        <xdr:cNvSpPr/>
      </xdr:nvSpPr>
      <xdr:spPr>
        <a:xfrm>
          <a:off x="1778198" y="1904924"/>
          <a:ext cx="1576273" cy="527399"/>
        </a:xfrm>
        <a:prstGeom prst="roundRect">
          <a:avLst/>
        </a:prstGeom>
        <a:solidFill>
          <a:schemeClr val="accent2"/>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A87B0489-9ED8-4901-B2C9-CB917C3578FD}" type="TxLink">
            <a:rPr lang="en-US" sz="2400" b="1" i="0" u="none" strike="noStrike">
              <a:solidFill>
                <a:srgbClr val="000000"/>
              </a:solidFill>
              <a:latin typeface="Britannic Bold" panose="020B0903060703020204" pitchFamily="34" charset="0"/>
              <a:ea typeface="Calibri"/>
              <a:cs typeface="Calibri"/>
            </a:rPr>
            <a:pPr algn="ctr"/>
            <a:t>1470</a:t>
          </a:fld>
          <a:endParaRPr lang="en-IN" sz="2000" b="1">
            <a:latin typeface="Britannic Bold" panose="020B0903060703020204" pitchFamily="34" charset="0"/>
          </a:endParaRPr>
        </a:p>
      </xdr:txBody>
    </xdr:sp>
    <xdr:clientData/>
  </xdr:twoCellAnchor>
  <xdr:twoCellAnchor>
    <xdr:from>
      <xdr:col>6</xdr:col>
      <xdr:colOff>609600</xdr:colOff>
      <xdr:row>9</xdr:row>
      <xdr:rowOff>179294</xdr:rowOff>
    </xdr:from>
    <xdr:to>
      <xdr:col>8</xdr:col>
      <xdr:colOff>286870</xdr:colOff>
      <xdr:row>12</xdr:row>
      <xdr:rowOff>116541</xdr:rowOff>
    </xdr:to>
    <xdr:sp macro="" textlink="kpi!B6">
      <xdr:nvSpPr>
        <xdr:cNvPr id="33" name="Rectangle: Rounded Corners 32">
          <a:extLst>
            <a:ext uri="{FF2B5EF4-FFF2-40B4-BE49-F238E27FC236}">
              <a16:creationId xmlns:a16="http://schemas.microsoft.com/office/drawing/2014/main" id="{793BA898-B2BE-4078-B8F6-F9C825DA8E32}"/>
            </a:ext>
          </a:extLst>
        </xdr:cNvPr>
        <xdr:cNvSpPr/>
      </xdr:nvSpPr>
      <xdr:spPr>
        <a:xfrm>
          <a:off x="4643718" y="1954306"/>
          <a:ext cx="1021976" cy="528917"/>
        </a:xfrm>
        <a:prstGeom prst="round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D7A99801-5D6D-4F07-9604-F352EE9DFB2E}" type="TxLink">
            <a:rPr lang="en-US" sz="2400" b="1" i="0" u="none" strike="noStrike">
              <a:solidFill>
                <a:srgbClr val="000000"/>
              </a:solidFill>
              <a:latin typeface="Britannic Bold" panose="020B0903060703020204" pitchFamily="34" charset="0"/>
              <a:ea typeface="Calibri"/>
              <a:cs typeface="Calibri"/>
            </a:rPr>
            <a:pPr algn="ctr"/>
            <a:t>237</a:t>
          </a:fld>
          <a:endParaRPr lang="en-IN" sz="2000" b="1">
            <a:latin typeface="Britannic Bold" panose="020B0903060703020204" pitchFamily="34" charset="0"/>
          </a:endParaRPr>
        </a:p>
      </xdr:txBody>
    </xdr:sp>
    <xdr:clientData/>
  </xdr:twoCellAnchor>
  <xdr:twoCellAnchor>
    <xdr:from>
      <xdr:col>11</xdr:col>
      <xdr:colOff>16258</xdr:colOff>
      <xdr:row>9</xdr:row>
      <xdr:rowOff>116546</xdr:rowOff>
    </xdr:from>
    <xdr:to>
      <xdr:col>12</xdr:col>
      <xdr:colOff>427873</xdr:colOff>
      <xdr:row>12</xdr:row>
      <xdr:rowOff>80683</xdr:rowOff>
    </xdr:to>
    <xdr:sp macro="" textlink="kpi!D6">
      <xdr:nvSpPr>
        <xdr:cNvPr id="34" name="Rectangle: Rounded Corners 33">
          <a:extLst>
            <a:ext uri="{FF2B5EF4-FFF2-40B4-BE49-F238E27FC236}">
              <a16:creationId xmlns:a16="http://schemas.microsoft.com/office/drawing/2014/main" id="{E7AB71C6-0027-4EA5-A9C6-CFCE8F11E655}"/>
            </a:ext>
          </a:extLst>
        </xdr:cNvPr>
        <xdr:cNvSpPr/>
      </xdr:nvSpPr>
      <xdr:spPr>
        <a:xfrm>
          <a:off x="7403783" y="1860105"/>
          <a:ext cx="1083209" cy="545324"/>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B27FE2E-AA90-4E83-A0BA-0105F7C0D144}" type="TxLink">
            <a:rPr lang="en-US" sz="2400" b="1" i="0" u="none" strike="noStrike">
              <a:solidFill>
                <a:srgbClr val="000000"/>
              </a:solidFill>
              <a:latin typeface="Britannic Bold" panose="020B0903060703020204" pitchFamily="34" charset="0"/>
              <a:ea typeface="Calibri"/>
              <a:cs typeface="Calibri"/>
            </a:rPr>
            <a:pPr algn="ctr"/>
            <a:t>1233</a:t>
          </a:fld>
          <a:endParaRPr lang="en-IN" sz="2000" b="1">
            <a:latin typeface="Britannic Bold" panose="020B0903060703020204" pitchFamily="34" charset="0"/>
          </a:endParaRPr>
        </a:p>
      </xdr:txBody>
    </xdr:sp>
    <xdr:clientData/>
  </xdr:twoCellAnchor>
  <xdr:twoCellAnchor>
    <xdr:from>
      <xdr:col>15</xdr:col>
      <xdr:colOff>127783</xdr:colOff>
      <xdr:row>9</xdr:row>
      <xdr:rowOff>134472</xdr:rowOff>
    </xdr:from>
    <xdr:to>
      <xdr:col>16</xdr:col>
      <xdr:colOff>494576</xdr:colOff>
      <xdr:row>12</xdr:row>
      <xdr:rowOff>53790</xdr:rowOff>
    </xdr:to>
    <xdr:sp macro="" textlink="kpi!E6">
      <xdr:nvSpPr>
        <xdr:cNvPr id="35" name="Rectangle: Rounded Corners 34">
          <a:extLst>
            <a:ext uri="{FF2B5EF4-FFF2-40B4-BE49-F238E27FC236}">
              <a16:creationId xmlns:a16="http://schemas.microsoft.com/office/drawing/2014/main" id="{2D11E143-3090-4456-8E24-9997E72CBB7E}"/>
            </a:ext>
          </a:extLst>
        </xdr:cNvPr>
        <xdr:cNvSpPr/>
      </xdr:nvSpPr>
      <xdr:spPr>
        <a:xfrm>
          <a:off x="10201681" y="1878031"/>
          <a:ext cx="1038387" cy="50050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3DDEBF4-B1E9-4CAF-819A-32D8AFD033A4}" type="TxLink">
            <a:rPr lang="en-US" sz="2400" b="1" i="0" u="none" strike="noStrike">
              <a:solidFill>
                <a:srgbClr val="000000"/>
              </a:solidFill>
              <a:latin typeface="Britannic Bold" panose="020B0903060703020204" pitchFamily="34" charset="0"/>
              <a:ea typeface="Calibri"/>
              <a:cs typeface="Calibri"/>
            </a:rPr>
            <a:pPr algn="ctr"/>
            <a:t>16.12%</a:t>
          </a:fld>
          <a:endParaRPr lang="en-IN" sz="2000" b="1">
            <a:latin typeface="Britannic Bold" panose="020B0903060703020204" pitchFamily="34" charset="0"/>
          </a:endParaRPr>
        </a:p>
      </xdr:txBody>
    </xdr:sp>
    <xdr:clientData/>
  </xdr:twoCellAnchor>
  <xdr:twoCellAnchor>
    <xdr:from>
      <xdr:col>19</xdr:col>
      <xdr:colOff>9420</xdr:colOff>
      <xdr:row>9</xdr:row>
      <xdr:rowOff>107575</xdr:rowOff>
    </xdr:from>
    <xdr:to>
      <xdr:col>20</xdr:col>
      <xdr:colOff>573437</xdr:colOff>
      <xdr:row>12</xdr:row>
      <xdr:rowOff>91887</xdr:rowOff>
    </xdr:to>
    <xdr:sp macro="" textlink="kpi!C6">
      <xdr:nvSpPr>
        <xdr:cNvPr id="37" name="Rectangle: Rounded Corners 36">
          <a:extLst>
            <a:ext uri="{FF2B5EF4-FFF2-40B4-BE49-F238E27FC236}">
              <a16:creationId xmlns:a16="http://schemas.microsoft.com/office/drawing/2014/main" id="{C9D26F13-3557-4B55-8CFD-D956998FF393}"/>
            </a:ext>
          </a:extLst>
        </xdr:cNvPr>
        <xdr:cNvSpPr/>
      </xdr:nvSpPr>
      <xdr:spPr>
        <a:xfrm>
          <a:off x="12769691" y="1851134"/>
          <a:ext cx="1235610" cy="565499"/>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B752C20-37E6-4B36-A1CC-907FB999B2F9}" type="TxLink">
            <a:rPr lang="en-US" sz="2400" b="0" i="0" u="none" strike="noStrike">
              <a:solidFill>
                <a:srgbClr val="000000"/>
              </a:solidFill>
              <a:latin typeface="Britannic Bold" panose="020B0903060703020204" pitchFamily="34" charset="0"/>
              <a:ea typeface="Calibri"/>
              <a:cs typeface="Calibri"/>
            </a:rPr>
            <a:pPr algn="ctr"/>
            <a:t>36.9</a:t>
          </a:fld>
          <a:endParaRPr lang="en-IN" sz="2000">
            <a:latin typeface="Britannic Bold" panose="020B0903060703020204" pitchFamily="34" charset="0"/>
          </a:endParaRPr>
        </a:p>
      </xdr:txBody>
    </xdr:sp>
    <xdr:clientData/>
  </xdr:twoCellAnchor>
  <xdr:twoCellAnchor editAs="oneCell">
    <xdr:from>
      <xdr:col>1</xdr:col>
      <xdr:colOff>636493</xdr:colOff>
      <xdr:row>15</xdr:row>
      <xdr:rowOff>89649</xdr:rowOff>
    </xdr:from>
    <xdr:to>
      <xdr:col>7</xdr:col>
      <xdr:colOff>251010</xdr:colOff>
      <xdr:row>19</xdr:row>
      <xdr:rowOff>1</xdr:rowOff>
    </xdr:to>
    <mc:AlternateContent xmlns:mc="http://schemas.openxmlformats.org/markup-compatibility/2006" xmlns:a14="http://schemas.microsoft.com/office/drawing/2010/main">
      <mc:Choice Requires="a14">
        <xdr:graphicFrame macro="">
          <xdr:nvGraphicFramePr>
            <xdr:cNvPr id="66" name="Gender 7">
              <a:extLst>
                <a:ext uri="{FF2B5EF4-FFF2-40B4-BE49-F238E27FC236}">
                  <a16:creationId xmlns:a16="http://schemas.microsoft.com/office/drawing/2014/main" id="{C4534709-B9EF-4C74-BAFE-EA00BFB7EFBD}"/>
                </a:ext>
              </a:extLst>
            </xdr:cNvPr>
            <xdr:cNvGraphicFramePr/>
          </xdr:nvGraphicFramePr>
          <xdr:xfrm>
            <a:off x="0" y="0"/>
            <a:ext cx="0" cy="0"/>
          </xdr:xfrm>
          <a:graphic>
            <a:graphicData uri="http://schemas.microsoft.com/office/drawing/2010/slicer">
              <sle:slicer xmlns:sle="http://schemas.microsoft.com/office/drawing/2010/slicer" name="Gender 7"/>
            </a:graphicData>
          </a:graphic>
        </xdr:graphicFrame>
      </mc:Choice>
      <mc:Fallback xmlns="">
        <xdr:sp macro="" textlink="">
          <xdr:nvSpPr>
            <xdr:cNvPr id="0" name=""/>
            <xdr:cNvSpPr>
              <a:spLocks noTextEdit="1"/>
            </xdr:cNvSpPr>
          </xdr:nvSpPr>
          <xdr:spPr>
            <a:xfrm>
              <a:off x="1301511" y="2999104"/>
              <a:ext cx="3604626" cy="686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618565</xdr:colOff>
      <xdr:row>19</xdr:row>
      <xdr:rowOff>89647</xdr:rowOff>
    </xdr:from>
    <xdr:to>
      <xdr:col>4</xdr:col>
      <xdr:colOff>215153</xdr:colOff>
      <xdr:row>26</xdr:row>
      <xdr:rowOff>152400</xdr:rowOff>
    </xdr:to>
    <xdr:graphicFrame macro="">
      <xdr:nvGraphicFramePr>
        <xdr:cNvPr id="67" name="Chart 66">
          <a:extLst>
            <a:ext uri="{FF2B5EF4-FFF2-40B4-BE49-F238E27FC236}">
              <a16:creationId xmlns:a16="http://schemas.microsoft.com/office/drawing/2014/main" id="{D4C97979-3B21-40F1-B6DF-7E8C7CB10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466166</xdr:colOff>
      <xdr:row>19</xdr:row>
      <xdr:rowOff>98612</xdr:rowOff>
    </xdr:from>
    <xdr:to>
      <xdr:col>7</xdr:col>
      <xdr:colOff>77165</xdr:colOff>
      <xdr:row>26</xdr:row>
      <xdr:rowOff>163975</xdr:rowOff>
    </xdr:to>
    <xdr:graphicFrame macro="">
      <xdr:nvGraphicFramePr>
        <xdr:cNvPr id="68" name="Chart 67">
          <a:extLst>
            <a:ext uri="{FF2B5EF4-FFF2-40B4-BE49-F238E27FC236}">
              <a16:creationId xmlns:a16="http://schemas.microsoft.com/office/drawing/2014/main" id="{D86E8B4D-3310-48A4-8EE5-2F2A81F0D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663387</xdr:colOff>
      <xdr:row>15</xdr:row>
      <xdr:rowOff>71717</xdr:rowOff>
    </xdr:from>
    <xdr:to>
      <xdr:col>14</xdr:col>
      <xdr:colOff>537883</xdr:colOff>
      <xdr:row>26</xdr:row>
      <xdr:rowOff>62753</xdr:rowOff>
    </xdr:to>
    <xdr:graphicFrame macro="">
      <xdr:nvGraphicFramePr>
        <xdr:cNvPr id="69" name="Chart 68">
          <a:extLst>
            <a:ext uri="{FF2B5EF4-FFF2-40B4-BE49-F238E27FC236}">
              <a16:creationId xmlns:a16="http://schemas.microsoft.com/office/drawing/2014/main" id="{5F5F9D0E-F79E-47A1-9CC6-7AF845967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268942</xdr:colOff>
      <xdr:row>15</xdr:row>
      <xdr:rowOff>62756</xdr:rowOff>
    </xdr:from>
    <xdr:to>
      <xdr:col>21</xdr:col>
      <xdr:colOff>466164</xdr:colOff>
      <xdr:row>26</xdr:row>
      <xdr:rowOff>152401</xdr:rowOff>
    </xdr:to>
    <mc:AlternateContent xmlns:mc="http://schemas.openxmlformats.org/markup-compatibility/2006">
      <mc:Choice xmlns:cx1="http://schemas.microsoft.com/office/drawing/2015/9/8/chartex" Requires="cx1">
        <xdr:graphicFrame macro="">
          <xdr:nvGraphicFramePr>
            <xdr:cNvPr id="70" name="Chart 69">
              <a:extLst>
                <a:ext uri="{FF2B5EF4-FFF2-40B4-BE49-F238E27FC236}">
                  <a16:creationId xmlns:a16="http://schemas.microsoft.com/office/drawing/2014/main" id="{E3C919D5-BBB0-41D9-B59F-63884C2A5A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0327342" y="3034556"/>
              <a:ext cx="4220582" cy="226896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654423</xdr:colOff>
      <xdr:row>29</xdr:row>
      <xdr:rowOff>125507</xdr:rowOff>
    </xdr:from>
    <xdr:to>
      <xdr:col>7</xdr:col>
      <xdr:colOff>161364</xdr:colOff>
      <xdr:row>40</xdr:row>
      <xdr:rowOff>116542</xdr:rowOff>
    </xdr:to>
    <xdr:graphicFrame macro="">
      <xdr:nvGraphicFramePr>
        <xdr:cNvPr id="71" name="Chart 70">
          <a:extLst>
            <a:ext uri="{FF2B5EF4-FFF2-40B4-BE49-F238E27FC236}">
              <a16:creationId xmlns:a16="http://schemas.microsoft.com/office/drawing/2014/main" id="{CD665C89-F2BC-4EDD-B4C0-667927314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546847</xdr:colOff>
      <xdr:row>29</xdr:row>
      <xdr:rowOff>125506</xdr:rowOff>
    </xdr:from>
    <xdr:to>
      <xdr:col>13</xdr:col>
      <xdr:colOff>35859</xdr:colOff>
      <xdr:row>40</xdr:row>
      <xdr:rowOff>71718</xdr:rowOff>
    </xdr:to>
    <xdr:graphicFrame macro="">
      <xdr:nvGraphicFramePr>
        <xdr:cNvPr id="72" name="Chart 71">
          <a:extLst>
            <a:ext uri="{FF2B5EF4-FFF2-40B4-BE49-F238E27FC236}">
              <a16:creationId xmlns:a16="http://schemas.microsoft.com/office/drawing/2014/main" id="{276A3554-A0E8-4FAE-845B-5A9C00985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242047</xdr:colOff>
      <xdr:row>29</xdr:row>
      <xdr:rowOff>125506</xdr:rowOff>
    </xdr:from>
    <xdr:to>
      <xdr:col>17</xdr:col>
      <xdr:colOff>233082</xdr:colOff>
      <xdr:row>40</xdr:row>
      <xdr:rowOff>89647</xdr:rowOff>
    </xdr:to>
    <mc:AlternateContent xmlns:mc="http://schemas.openxmlformats.org/markup-compatibility/2006">
      <mc:Choice xmlns:cx2="http://schemas.microsoft.com/office/drawing/2015/10/21/chartex" Requires="cx2">
        <xdr:graphicFrame macro="">
          <xdr:nvGraphicFramePr>
            <xdr:cNvPr id="73" name="Chart 72">
              <a:extLst>
                <a:ext uri="{FF2B5EF4-FFF2-40B4-BE49-F238E27FC236}">
                  <a16:creationId xmlns:a16="http://schemas.microsoft.com/office/drawing/2014/main" id="{6D3902A0-FBD3-4FCE-B9F0-FD5E36B799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8959327" y="5870986"/>
              <a:ext cx="2673275" cy="21434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528917</xdr:colOff>
      <xdr:row>27</xdr:row>
      <xdr:rowOff>170330</xdr:rowOff>
    </xdr:from>
    <xdr:to>
      <xdr:col>21</xdr:col>
      <xdr:colOff>421340</xdr:colOff>
      <xdr:row>34</xdr:row>
      <xdr:rowOff>26895</xdr:rowOff>
    </xdr:to>
    <mc:AlternateContent xmlns:mc="http://schemas.openxmlformats.org/markup-compatibility/2006" xmlns:a14="http://schemas.microsoft.com/office/drawing/2010/main">
      <mc:Choice Requires="a14">
        <xdr:graphicFrame macro="">
          <xdr:nvGraphicFramePr>
            <xdr:cNvPr id="75" name="Education Field 7">
              <a:extLst>
                <a:ext uri="{FF2B5EF4-FFF2-40B4-BE49-F238E27FC236}">
                  <a16:creationId xmlns:a16="http://schemas.microsoft.com/office/drawing/2014/main" id="{0E4DB915-6672-4A80-B225-B2324F6F1716}"/>
                </a:ext>
              </a:extLst>
            </xdr:cNvPr>
            <xdr:cNvGraphicFramePr/>
          </xdr:nvGraphicFramePr>
          <xdr:xfrm>
            <a:off x="0" y="0"/>
            <a:ext cx="0" cy="0"/>
          </xdr:xfrm>
          <a:graphic>
            <a:graphicData uri="http://schemas.microsoft.com/office/drawing/2010/slicer">
              <sle:slicer xmlns:sle="http://schemas.microsoft.com/office/drawing/2010/slicer" name="Education Field 7"/>
            </a:graphicData>
          </a:graphic>
        </xdr:graphicFrame>
      </mc:Choice>
      <mc:Fallback xmlns="">
        <xdr:sp macro="" textlink="">
          <xdr:nvSpPr>
            <xdr:cNvPr id="0" name=""/>
            <xdr:cNvSpPr>
              <a:spLocks noTextEdit="1"/>
            </xdr:cNvSpPr>
          </xdr:nvSpPr>
          <xdr:spPr>
            <a:xfrm>
              <a:off x="11982980" y="5584541"/>
              <a:ext cx="2587497" cy="1260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555812</xdr:colOff>
      <xdr:row>34</xdr:row>
      <xdr:rowOff>107578</xdr:rowOff>
    </xdr:from>
    <xdr:to>
      <xdr:col>21</xdr:col>
      <xdr:colOff>403412</xdr:colOff>
      <xdr:row>40</xdr:row>
      <xdr:rowOff>115747</xdr:rowOff>
    </xdr:to>
    <mc:AlternateContent xmlns:mc="http://schemas.openxmlformats.org/markup-compatibility/2006" xmlns:a14="http://schemas.microsoft.com/office/drawing/2010/main">
      <mc:Choice Requires="a14">
        <xdr:graphicFrame macro="">
          <xdr:nvGraphicFramePr>
            <xdr:cNvPr id="76" name="Department 3">
              <a:extLst>
                <a:ext uri="{FF2B5EF4-FFF2-40B4-BE49-F238E27FC236}">
                  <a16:creationId xmlns:a16="http://schemas.microsoft.com/office/drawing/2014/main" id="{A60C68E3-8D54-44CF-9ED0-6620B374166C}"/>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1861121" y="6702341"/>
              <a:ext cx="2507673" cy="1163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609601</xdr:colOff>
      <xdr:row>10</xdr:row>
      <xdr:rowOff>110836</xdr:rowOff>
    </xdr:from>
    <xdr:to>
      <xdr:col>2</xdr:col>
      <xdr:colOff>278419</xdr:colOff>
      <xdr:row>12</xdr:row>
      <xdr:rowOff>46495</xdr:rowOff>
    </xdr:to>
    <xdr:pic>
      <xdr:nvPicPr>
        <xdr:cNvPr id="45" name="Picture 44">
          <a:extLst>
            <a:ext uri="{FF2B5EF4-FFF2-40B4-BE49-F238E27FC236}">
              <a16:creationId xmlns:a16="http://schemas.microsoft.com/office/drawing/2014/main" id="{8F23AAFE-444B-4231-B0A5-255107015607}"/>
            </a:ext>
          </a:extLst>
        </xdr:cNvPr>
        <xdr:cNvPicPr>
          <a:picLocks noChangeAspect="1"/>
        </xdr:cNvPicPr>
      </xdr:nvPicPr>
      <xdr:blipFill>
        <a:blip xmlns:r="http://schemas.openxmlformats.org/officeDocument/2006/relationships" r:embed="rId13">
          <a:extLst>
            <a:ext uri="{BEBA8EAE-BF5A-486C-A8C5-ECC9F3942E4B}">
              <a14:imgProps xmlns:a14="http://schemas.microsoft.com/office/drawing/2010/main">
                <a14:imgLayer r:embed="rId14">
                  <a14:imgEffect>
                    <a14:colorTemperature colorTemp="4700"/>
                  </a14:imgEffect>
                </a14:imgLayer>
              </a14:imgProps>
            </a:ext>
          </a:extLst>
        </a:blip>
        <a:stretch>
          <a:fillRect/>
        </a:stretch>
      </xdr:blipFill>
      <xdr:spPr>
        <a:xfrm>
          <a:off x="1274619" y="2050472"/>
          <a:ext cx="333836" cy="323587"/>
        </a:xfrm>
        <a:prstGeom prst="rect">
          <a:avLst/>
        </a:prstGeom>
      </xdr:spPr>
    </xdr:pic>
    <xdr:clientData/>
  </xdr:twoCellAnchor>
  <xdr:twoCellAnchor editAs="oneCell">
    <xdr:from>
      <xdr:col>17</xdr:col>
      <xdr:colOff>663792</xdr:colOff>
      <xdr:row>9</xdr:row>
      <xdr:rowOff>182642</xdr:rowOff>
    </xdr:from>
    <xdr:to>
      <xdr:col>18</xdr:col>
      <xdr:colOff>533228</xdr:colOff>
      <xdr:row>12</xdr:row>
      <xdr:rowOff>102484</xdr:rowOff>
    </xdr:to>
    <xdr:pic>
      <xdr:nvPicPr>
        <xdr:cNvPr id="48" name="Picture 47">
          <a:extLst>
            <a:ext uri="{FF2B5EF4-FFF2-40B4-BE49-F238E27FC236}">
              <a16:creationId xmlns:a16="http://schemas.microsoft.com/office/drawing/2014/main" id="{23E770D0-9AC6-47E9-9883-91A3B278BB36}"/>
            </a:ext>
          </a:extLst>
        </xdr:cNvPr>
        <xdr:cNvPicPr>
          <a:picLocks noChangeAspect="1"/>
        </xdr:cNvPicPr>
      </xdr:nvPicPr>
      <xdr:blipFill>
        <a:blip xmlns:r="http://schemas.openxmlformats.org/officeDocument/2006/relationships" r:embed="rId15">
          <a:duotone>
            <a:prstClr val="black"/>
            <a:schemeClr val="accent1">
              <a:lumMod val="20000"/>
              <a:lumOff val="80000"/>
              <a:tint val="45000"/>
              <a:satMod val="400000"/>
            </a:schemeClr>
          </a:duotone>
        </a:blip>
        <a:stretch>
          <a:fillRect/>
        </a:stretch>
      </xdr:blipFill>
      <xdr:spPr>
        <a:xfrm>
          <a:off x="12031588" y="2002111"/>
          <a:ext cx="538130" cy="526332"/>
        </a:xfrm>
        <a:prstGeom prst="rect">
          <a:avLst/>
        </a:prstGeom>
        <a:ln>
          <a:noFill/>
        </a:ln>
      </xdr:spPr>
    </xdr:pic>
    <xdr:clientData/>
  </xdr:twoCellAnchor>
  <xdr:twoCellAnchor editAs="oneCell">
    <xdr:from>
      <xdr:col>5</xdr:col>
      <xdr:colOff>637593</xdr:colOff>
      <xdr:row>9</xdr:row>
      <xdr:rowOff>128396</xdr:rowOff>
    </xdr:from>
    <xdr:to>
      <xdr:col>6</xdr:col>
      <xdr:colOff>537308</xdr:colOff>
      <xdr:row>12</xdr:row>
      <xdr:rowOff>93624</xdr:rowOff>
    </xdr:to>
    <xdr:pic>
      <xdr:nvPicPr>
        <xdr:cNvPr id="49" name="Picture 48">
          <a:extLst>
            <a:ext uri="{FF2B5EF4-FFF2-40B4-BE49-F238E27FC236}">
              <a16:creationId xmlns:a16="http://schemas.microsoft.com/office/drawing/2014/main" id="{2FC0672A-C7B1-48CB-93CD-A481762ECE56}"/>
            </a:ext>
          </a:extLst>
        </xdr:cNvPr>
        <xdr:cNvPicPr>
          <a:picLocks noChangeAspect="1"/>
        </xdr:cNvPicPr>
      </xdr:nvPicPr>
      <xdr:blipFill>
        <a:blip xmlns:r="http://schemas.openxmlformats.org/officeDocument/2006/relationships" r:embed="rId16">
          <a:duotone>
            <a:prstClr val="black"/>
            <a:schemeClr val="accent1">
              <a:lumMod val="20000"/>
              <a:lumOff val="80000"/>
              <a:tint val="45000"/>
              <a:satMod val="400000"/>
            </a:schemeClr>
          </a:duotone>
        </a:blip>
        <a:stretch>
          <a:fillRect/>
        </a:stretch>
      </xdr:blipFill>
      <xdr:spPr>
        <a:xfrm>
          <a:off x="4007978" y="1886858"/>
          <a:ext cx="573792" cy="551381"/>
        </a:xfrm>
        <a:prstGeom prst="rect">
          <a:avLst/>
        </a:prstGeom>
      </xdr:spPr>
    </xdr:pic>
    <xdr:clientData/>
  </xdr:twoCellAnchor>
  <xdr:twoCellAnchor editAs="oneCell">
    <xdr:from>
      <xdr:col>9</xdr:col>
      <xdr:colOff>637592</xdr:colOff>
      <xdr:row>9</xdr:row>
      <xdr:rowOff>194996</xdr:rowOff>
    </xdr:from>
    <xdr:to>
      <xdr:col>10</xdr:col>
      <xdr:colOff>435418</xdr:colOff>
      <xdr:row>12</xdr:row>
      <xdr:rowOff>15153</xdr:rowOff>
    </xdr:to>
    <xdr:pic>
      <xdr:nvPicPr>
        <xdr:cNvPr id="50" name="Picture 49">
          <a:extLst>
            <a:ext uri="{FF2B5EF4-FFF2-40B4-BE49-F238E27FC236}">
              <a16:creationId xmlns:a16="http://schemas.microsoft.com/office/drawing/2014/main" id="{8661D56C-4653-4766-8F34-B7574D6C4A9A}"/>
            </a:ext>
          </a:extLst>
        </xdr:cNvPr>
        <xdr:cNvPicPr>
          <a:picLocks noChangeAspect="1"/>
        </xdr:cNvPicPr>
      </xdr:nvPicPr>
      <xdr:blipFill>
        <a:blip xmlns:r="http://schemas.openxmlformats.org/officeDocument/2006/relationships" r:embed="rId17">
          <a:duotone>
            <a:prstClr val="black"/>
            <a:schemeClr val="accent1">
              <a:lumMod val="20000"/>
              <a:lumOff val="80000"/>
              <a:tint val="45000"/>
              <a:satMod val="400000"/>
            </a:schemeClr>
          </a:duotone>
        </a:blip>
        <a:stretch>
          <a:fillRect/>
        </a:stretch>
      </xdr:blipFill>
      <xdr:spPr>
        <a:xfrm>
          <a:off x="6704284" y="1953458"/>
          <a:ext cx="471903" cy="406310"/>
        </a:xfrm>
        <a:prstGeom prst="rect">
          <a:avLst/>
        </a:prstGeom>
      </xdr:spPr>
    </xdr:pic>
    <xdr:clientData/>
  </xdr:twoCellAnchor>
  <xdr:twoCellAnchor editAs="oneCell">
    <xdr:from>
      <xdr:col>16</xdr:col>
      <xdr:colOff>388777</xdr:colOff>
      <xdr:row>5</xdr:row>
      <xdr:rowOff>46654</xdr:rowOff>
    </xdr:from>
    <xdr:to>
      <xdr:col>17</xdr:col>
      <xdr:colOff>274101</xdr:colOff>
      <xdr:row>7</xdr:row>
      <xdr:rowOff>62204</xdr:rowOff>
    </xdr:to>
    <xdr:pic>
      <xdr:nvPicPr>
        <xdr:cNvPr id="51" name="Picture 50">
          <a:extLst>
            <a:ext uri="{FF2B5EF4-FFF2-40B4-BE49-F238E27FC236}">
              <a16:creationId xmlns:a16="http://schemas.microsoft.com/office/drawing/2014/main" id="{0FA20805-E933-4903-8C10-3533A55B5965}"/>
            </a:ext>
          </a:extLst>
        </xdr:cNvPr>
        <xdr:cNvPicPr>
          <a:picLocks noChangeAspect="1"/>
        </xdr:cNvPicPr>
      </xdr:nvPicPr>
      <xdr:blipFill>
        <a:blip xmlns:r="http://schemas.openxmlformats.org/officeDocument/2006/relationships" r:embed="rId18">
          <a:duotone>
            <a:prstClr val="black"/>
            <a:srgbClr val="D9C3A5">
              <a:tint val="50000"/>
              <a:satMod val="180000"/>
            </a:srgbClr>
          </a:duotone>
        </a:blip>
        <a:stretch>
          <a:fillRect/>
        </a:stretch>
      </xdr:blipFill>
      <xdr:spPr>
        <a:xfrm>
          <a:off x="11087879" y="1057470"/>
          <a:ext cx="554018" cy="419877"/>
        </a:xfrm>
        <a:prstGeom prst="rect">
          <a:avLst/>
        </a:prstGeom>
      </xdr:spPr>
    </xdr:pic>
    <xdr:clientData/>
  </xdr:twoCellAnchor>
  <xdr:twoCellAnchor editAs="oneCell">
    <xdr:from>
      <xdr:col>13</xdr:col>
      <xdr:colOff>646566</xdr:colOff>
      <xdr:row>10</xdr:row>
      <xdr:rowOff>0</xdr:rowOff>
    </xdr:from>
    <xdr:to>
      <xdr:col>14</xdr:col>
      <xdr:colOff>563427</xdr:colOff>
      <xdr:row>12</xdr:row>
      <xdr:rowOff>46653</xdr:rowOff>
    </xdr:to>
    <xdr:pic>
      <xdr:nvPicPr>
        <xdr:cNvPr id="52" name="Picture 51">
          <a:extLst>
            <a:ext uri="{FF2B5EF4-FFF2-40B4-BE49-F238E27FC236}">
              <a16:creationId xmlns:a16="http://schemas.microsoft.com/office/drawing/2014/main" id="{0C671589-9BF2-4A00-9827-3AF4700C8281}"/>
            </a:ext>
          </a:extLst>
        </xdr:cNvPr>
        <xdr:cNvPicPr>
          <a:picLocks noChangeAspect="1"/>
        </xdr:cNvPicPr>
      </xdr:nvPicPr>
      <xdr:blipFill>
        <a:blip xmlns:r="http://schemas.openxmlformats.org/officeDocument/2006/relationships" r:embed="rId19">
          <a:duotone>
            <a:prstClr val="black"/>
            <a:schemeClr val="accent1">
              <a:lumMod val="20000"/>
              <a:lumOff val="80000"/>
              <a:tint val="45000"/>
              <a:satMod val="400000"/>
            </a:schemeClr>
          </a:duotone>
        </a:blip>
        <a:stretch>
          <a:fillRect/>
        </a:stretch>
      </xdr:blipFill>
      <xdr:spPr>
        <a:xfrm>
          <a:off x="9409566" y="1953846"/>
          <a:ext cx="590938" cy="437422"/>
        </a:xfrm>
        <a:prstGeom prst="rect">
          <a:avLst/>
        </a:prstGeom>
      </xdr:spPr>
    </xdr:pic>
    <xdr:clientData/>
  </xdr:twoCellAnchor>
  <xdr:twoCellAnchor editAs="oneCell">
    <xdr:from>
      <xdr:col>2</xdr:col>
      <xdr:colOff>81643</xdr:colOff>
      <xdr:row>3</xdr:row>
      <xdr:rowOff>163286</xdr:rowOff>
    </xdr:from>
    <xdr:to>
      <xdr:col>2</xdr:col>
      <xdr:colOff>624569</xdr:colOff>
      <xdr:row>6</xdr:row>
      <xdr:rowOff>93890</xdr:rowOff>
    </xdr:to>
    <xdr:pic>
      <xdr:nvPicPr>
        <xdr:cNvPr id="53" name="Picture 52">
          <a:extLst>
            <a:ext uri="{FF2B5EF4-FFF2-40B4-BE49-F238E27FC236}">
              <a16:creationId xmlns:a16="http://schemas.microsoft.com/office/drawing/2014/main" id="{DED95EE7-D56C-4327-A508-6C4A74E3583B}"/>
            </a:ext>
          </a:extLst>
        </xdr:cNvPr>
        <xdr:cNvPicPr>
          <a:picLocks noChangeAspect="1"/>
        </xdr:cNvPicPr>
      </xdr:nvPicPr>
      <xdr:blipFill>
        <a:blip xmlns:r="http://schemas.openxmlformats.org/officeDocument/2006/relationships" r:embed="rId20"/>
        <a:stretch>
          <a:fillRect/>
        </a:stretch>
      </xdr:blipFill>
      <xdr:spPr>
        <a:xfrm>
          <a:off x="1415143" y="775607"/>
          <a:ext cx="542926" cy="542926"/>
        </a:xfrm>
        <a:prstGeom prst="rect">
          <a:avLst/>
        </a:prstGeom>
      </xdr:spPr>
    </xdr:pic>
    <xdr:clientData/>
  </xdr:twoCellAnchor>
  <xdr:twoCellAnchor>
    <xdr:from>
      <xdr:col>5</xdr:col>
      <xdr:colOff>319320</xdr:colOff>
      <xdr:row>22</xdr:row>
      <xdr:rowOff>172610</xdr:rowOff>
    </xdr:from>
    <xdr:to>
      <xdr:col>6</xdr:col>
      <xdr:colOff>327949</xdr:colOff>
      <xdr:row>24</xdr:row>
      <xdr:rowOff>135040</xdr:rowOff>
    </xdr:to>
    <xdr:sp macro="" textlink="'employee by gender'!C11">
      <xdr:nvSpPr>
        <xdr:cNvPr id="31" name="Rectangle: Diagonal Corners Rounded 30">
          <a:extLst>
            <a:ext uri="{FF2B5EF4-FFF2-40B4-BE49-F238E27FC236}">
              <a16:creationId xmlns:a16="http://schemas.microsoft.com/office/drawing/2014/main" id="{AE880D84-7FB7-49AB-8020-AAE2D69C6C3C}"/>
            </a:ext>
          </a:extLst>
        </xdr:cNvPr>
        <xdr:cNvSpPr/>
      </xdr:nvSpPr>
      <xdr:spPr>
        <a:xfrm>
          <a:off x="3695269" y="4628863"/>
          <a:ext cx="683819" cy="367544"/>
        </a:xfrm>
        <a:prstGeom prst="round2DiagRect">
          <a:avLst/>
        </a:prstGeom>
        <a:blipFill>
          <a:blip xmlns:r="http://schemas.openxmlformats.org/officeDocument/2006/relationships" r:embed="rId5"/>
          <a:tile tx="0" ty="0" sx="100000" sy="100000" flip="none" algn="tl"/>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270699F-CD92-4AA9-8DBE-2F56AB165B4B}" type="TxLink">
            <a:rPr lang="en-US" sz="1400" b="0" i="0" u="none" strike="noStrike" cap="none" spc="0">
              <a:ln>
                <a:noFill/>
              </a:ln>
              <a:solidFill>
                <a:schemeClr val="accent5">
                  <a:lumMod val="50000"/>
                </a:schemeClr>
              </a:solidFill>
              <a:effectLst/>
              <a:latin typeface="Britannic Bold" panose="020B0903060703020204" pitchFamily="34" charset="0"/>
              <a:ea typeface="Calibri"/>
              <a:cs typeface="Calibri"/>
            </a:rPr>
            <a:pPr algn="l"/>
            <a:t>40%</a:t>
          </a:fld>
          <a:endParaRPr lang="en-IN" sz="2400" b="0" cap="none" spc="0">
            <a:ln>
              <a:noFill/>
            </a:ln>
            <a:solidFill>
              <a:schemeClr val="accent5">
                <a:lumMod val="50000"/>
              </a:schemeClr>
            </a:solidFill>
            <a:effectLst/>
            <a:latin typeface="Britannic Bold" panose="020B0903060703020204" pitchFamily="34" charset="0"/>
          </a:endParaRPr>
        </a:p>
      </xdr:txBody>
    </xdr:sp>
    <xdr:clientData/>
  </xdr:twoCellAnchor>
  <xdr:twoCellAnchor>
    <xdr:from>
      <xdr:col>2</xdr:col>
      <xdr:colOff>424404</xdr:colOff>
      <xdr:row>22</xdr:row>
      <xdr:rowOff>173621</xdr:rowOff>
    </xdr:from>
    <xdr:to>
      <xdr:col>3</xdr:col>
      <xdr:colOff>491923</xdr:colOff>
      <xdr:row>24</xdr:row>
      <xdr:rowOff>144684</xdr:rowOff>
    </xdr:to>
    <xdr:sp macro="" textlink="'employee by gender'!C12">
      <xdr:nvSpPr>
        <xdr:cNvPr id="32" name="Rectangle 31">
          <a:extLst>
            <a:ext uri="{FF2B5EF4-FFF2-40B4-BE49-F238E27FC236}">
              <a16:creationId xmlns:a16="http://schemas.microsoft.com/office/drawing/2014/main" id="{A050FC40-2408-4D48-A5B6-3B15B2AD679F}"/>
            </a:ext>
          </a:extLst>
        </xdr:cNvPr>
        <xdr:cNvSpPr/>
      </xdr:nvSpPr>
      <xdr:spPr>
        <a:xfrm>
          <a:off x="1774784" y="4629874"/>
          <a:ext cx="742709" cy="376177"/>
        </a:xfrm>
        <a:prstGeom prst="rect">
          <a:avLst/>
        </a:prstGeom>
        <a:blipFill>
          <a:blip xmlns:r="http://schemas.openxmlformats.org/officeDocument/2006/relationships" r:embed="rId5"/>
          <a:tile tx="0" ty="0" sx="100000" sy="100000" flip="none" algn="tl"/>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54C4FD45-F78D-4591-B12D-53D757008AE1}" type="TxLink">
            <a:rPr lang="en-US" sz="1400" b="0" i="0" u="none" strike="noStrike">
              <a:solidFill>
                <a:schemeClr val="accent5">
                  <a:lumMod val="50000"/>
                </a:schemeClr>
              </a:solidFill>
              <a:latin typeface="Britannic Bold" panose="020B0903060703020204" pitchFamily="34" charset="0"/>
              <a:ea typeface="Calibri"/>
              <a:cs typeface="Calibri"/>
            </a:rPr>
            <a:pPr algn="l"/>
            <a:t>60%</a:t>
          </a:fld>
          <a:endParaRPr lang="en-IN" sz="1200" b="0">
            <a:solidFill>
              <a:schemeClr val="accent5">
                <a:lumMod val="50000"/>
              </a:schemeClr>
            </a:solidFill>
            <a:latin typeface="Britannic Bold" panose="020B0903060703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815340</xdr:colOff>
      <xdr:row>1</xdr:row>
      <xdr:rowOff>182881</xdr:rowOff>
    </xdr:from>
    <xdr:to>
      <xdr:col>8</xdr:col>
      <xdr:colOff>579120</xdr:colOff>
      <xdr:row>7</xdr:row>
      <xdr:rowOff>53340</xdr:rowOff>
    </xdr:to>
    <mc:AlternateContent xmlns:mc="http://schemas.openxmlformats.org/markup-compatibility/2006" xmlns:a14="http://schemas.microsoft.com/office/drawing/2010/main">
      <mc:Choice Requires="a14">
        <xdr:graphicFrame macro="">
          <xdr:nvGraphicFramePr>
            <xdr:cNvPr id="3" name="Gender 4">
              <a:extLst>
                <a:ext uri="{FF2B5EF4-FFF2-40B4-BE49-F238E27FC236}">
                  <a16:creationId xmlns:a16="http://schemas.microsoft.com/office/drawing/2014/main" id="{FF0A5759-7C3D-4305-896E-D31DBD815788}"/>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7764780" y="2164081"/>
              <a:ext cx="3238500" cy="1059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53340</xdr:colOff>
      <xdr:row>2</xdr:row>
      <xdr:rowOff>121920</xdr:rowOff>
    </xdr:from>
    <xdr:to>
      <xdr:col>6</xdr:col>
      <xdr:colOff>121920</xdr:colOff>
      <xdr:row>7</xdr:row>
      <xdr:rowOff>150495</xdr:rowOff>
    </xdr:to>
    <mc:AlternateContent xmlns:mc="http://schemas.openxmlformats.org/markup-compatibility/2006" xmlns:a14="http://schemas.microsoft.com/office/drawing/2010/main">
      <mc:Choice Requires="a14">
        <xdr:graphicFrame macro="">
          <xdr:nvGraphicFramePr>
            <xdr:cNvPr id="2" name="Gender 5">
              <a:extLst>
                <a:ext uri="{FF2B5EF4-FFF2-40B4-BE49-F238E27FC236}">
                  <a16:creationId xmlns:a16="http://schemas.microsoft.com/office/drawing/2014/main" id="{3F266ED6-AD4E-465C-BF7C-13D93E5EDC51}"/>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3619500" y="4678680"/>
              <a:ext cx="2628900" cy="1019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548640</xdr:colOff>
      <xdr:row>0</xdr:row>
      <xdr:rowOff>114300</xdr:rowOff>
    </xdr:from>
    <xdr:to>
      <xdr:col>8</xdr:col>
      <xdr:colOff>670560</xdr:colOff>
      <xdr:row>14</xdr:row>
      <xdr:rowOff>36195</xdr:rowOff>
    </xdr:to>
    <mc:AlternateContent xmlns:mc="http://schemas.openxmlformats.org/markup-compatibility/2006" xmlns:a14="http://schemas.microsoft.com/office/drawing/2010/main">
      <mc:Choice Requires="a14">
        <xdr:graphicFrame macro="">
          <xdr:nvGraphicFramePr>
            <xdr:cNvPr id="3" name="Education Field 4">
              <a:extLst>
                <a:ext uri="{FF2B5EF4-FFF2-40B4-BE49-F238E27FC236}">
                  <a16:creationId xmlns:a16="http://schemas.microsoft.com/office/drawing/2014/main" id="{EBCBA08C-2F6B-4840-80DE-5D5AA9DFAF13}"/>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6675120" y="42748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255270</xdr:colOff>
      <xdr:row>10</xdr:row>
      <xdr:rowOff>3810</xdr:rowOff>
    </xdr:from>
    <xdr:to>
      <xdr:col>6</xdr:col>
      <xdr:colOff>506730</xdr:colOff>
      <xdr:row>23</xdr:row>
      <xdr:rowOff>171450</xdr:rowOff>
    </xdr:to>
    <xdr:graphicFrame macro="">
      <xdr:nvGraphicFramePr>
        <xdr:cNvPr id="8" name="Chart 7">
          <a:extLst>
            <a:ext uri="{FF2B5EF4-FFF2-40B4-BE49-F238E27FC236}">
              <a16:creationId xmlns:a16="http://schemas.microsoft.com/office/drawing/2014/main" id="{A2763D40-A7B7-4912-ACFE-B84C9F88B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130628</xdr:colOff>
      <xdr:row>2</xdr:row>
      <xdr:rowOff>99061</xdr:rowOff>
    </xdr:from>
    <xdr:to>
      <xdr:col>19</xdr:col>
      <xdr:colOff>54427</xdr:colOff>
      <xdr:row>14</xdr:row>
      <xdr:rowOff>76201</xdr:rowOff>
    </xdr:to>
    <mc:AlternateContent xmlns:mc="http://schemas.openxmlformats.org/markup-compatibility/2006" xmlns:a14="http://schemas.microsoft.com/office/drawing/2010/main">
      <mc:Choice Requires="a14">
        <xdr:graphicFrame macro="">
          <xdr:nvGraphicFramePr>
            <xdr:cNvPr id="2" name="Education Field 5">
              <a:extLst>
                <a:ext uri="{FF2B5EF4-FFF2-40B4-BE49-F238E27FC236}">
                  <a16:creationId xmlns:a16="http://schemas.microsoft.com/office/drawing/2014/main" id="{AA33C661-E327-4183-8D58-A3E562C50A6D}"/>
                </a:ext>
              </a:extLst>
            </xdr:cNvPr>
            <xdr:cNvGraphicFramePr/>
          </xdr:nvGraphicFramePr>
          <xdr:xfrm>
            <a:off x="0" y="0"/>
            <a:ext cx="0" cy="0"/>
          </xdr:xfrm>
          <a:graphic>
            <a:graphicData uri="http://schemas.microsoft.com/office/drawing/2010/slicer">
              <sle:slicer xmlns:sle="http://schemas.microsoft.com/office/drawing/2010/slicer" name="Education Field 5"/>
            </a:graphicData>
          </a:graphic>
        </xdr:graphicFrame>
      </mc:Choice>
      <mc:Fallback xmlns="">
        <xdr:sp macro="" textlink="">
          <xdr:nvSpPr>
            <xdr:cNvPr id="0" name=""/>
            <xdr:cNvSpPr>
              <a:spLocks noTextEdit="1"/>
            </xdr:cNvSpPr>
          </xdr:nvSpPr>
          <xdr:spPr>
            <a:xfrm>
              <a:off x="5312228" y="5585461"/>
              <a:ext cx="2079170" cy="2328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224117</xdr:colOff>
      <xdr:row>0</xdr:row>
      <xdr:rowOff>152398</xdr:rowOff>
    </xdr:from>
    <xdr:to>
      <xdr:col>45</xdr:col>
      <xdr:colOff>163286</xdr:colOff>
      <xdr:row>18</xdr:row>
      <xdr:rowOff>8964</xdr:rowOff>
    </xdr:to>
    <xdr:graphicFrame macro="">
      <xdr:nvGraphicFramePr>
        <xdr:cNvPr id="3" name="Chart 2">
          <a:extLst>
            <a:ext uri="{FF2B5EF4-FFF2-40B4-BE49-F238E27FC236}">
              <a16:creationId xmlns:a16="http://schemas.microsoft.com/office/drawing/2014/main" id="{EAC924E0-DC32-448A-A044-89D36D286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203787</xdr:colOff>
      <xdr:row>19</xdr:row>
      <xdr:rowOff>16008</xdr:rowOff>
    </xdr:from>
    <xdr:to>
      <xdr:col>45</xdr:col>
      <xdr:colOff>185057</xdr:colOff>
      <xdr:row>34</xdr:row>
      <xdr:rowOff>96690</xdr:rowOff>
    </xdr:to>
    <xdr:graphicFrame macro="">
      <xdr:nvGraphicFramePr>
        <xdr:cNvPr id="8" name="Chart 7">
          <a:extLst>
            <a:ext uri="{FF2B5EF4-FFF2-40B4-BE49-F238E27FC236}">
              <a16:creationId xmlns:a16="http://schemas.microsoft.com/office/drawing/2014/main" id="{A36768D4-4B08-4431-81AF-DCB1701C5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171450</xdr:colOff>
      <xdr:row>16</xdr:row>
      <xdr:rowOff>3811</xdr:rowOff>
    </xdr:from>
    <xdr:to>
      <xdr:col>23</xdr:col>
      <xdr:colOff>87086</xdr:colOff>
      <xdr:row>22</xdr:row>
      <xdr:rowOff>1</xdr:rowOff>
    </xdr:to>
    <mc:AlternateContent xmlns:mc="http://schemas.openxmlformats.org/markup-compatibility/2006" xmlns:a14="http://schemas.microsoft.com/office/drawing/2010/main">
      <mc:Choice Requires="a14">
        <xdr:graphicFrame macro="">
          <xdr:nvGraphicFramePr>
            <xdr:cNvPr id="9" name="Gender 6">
              <a:extLst>
                <a:ext uri="{FF2B5EF4-FFF2-40B4-BE49-F238E27FC236}">
                  <a16:creationId xmlns:a16="http://schemas.microsoft.com/office/drawing/2014/main" id="{3A391C02-EE88-4B3B-8B93-7997A128C0DC}"/>
                </a:ext>
              </a:extLst>
            </xdr:cNvPr>
            <xdr:cNvGraphicFramePr/>
          </xdr:nvGraphicFramePr>
          <xdr:xfrm>
            <a:off x="0" y="0"/>
            <a:ext cx="0" cy="0"/>
          </xdr:xfrm>
          <a:graphic>
            <a:graphicData uri="http://schemas.microsoft.com/office/drawing/2010/slicer">
              <sle:slicer xmlns:sle="http://schemas.microsoft.com/office/drawing/2010/slicer" name="Gender 6"/>
            </a:graphicData>
          </a:graphic>
        </xdr:graphicFrame>
      </mc:Choice>
      <mc:Fallback xmlns="">
        <xdr:sp macro="" textlink="">
          <xdr:nvSpPr>
            <xdr:cNvPr id="0" name=""/>
            <xdr:cNvSpPr>
              <a:spLocks noTextEdit="1"/>
            </xdr:cNvSpPr>
          </xdr:nvSpPr>
          <xdr:spPr>
            <a:xfrm>
              <a:off x="5353050" y="8233411"/>
              <a:ext cx="1763487" cy="1171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397283</xdr:colOff>
      <xdr:row>1</xdr:row>
      <xdr:rowOff>0</xdr:rowOff>
    </xdr:from>
    <xdr:to>
      <xdr:col>19</xdr:col>
      <xdr:colOff>595745</xdr:colOff>
      <xdr:row>20</xdr:row>
      <xdr:rowOff>180108</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4D98F77-7154-401E-81F2-5C45662674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295663" y="198120"/>
              <a:ext cx="11293182" cy="39443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598714</xdr:colOff>
      <xdr:row>3</xdr:row>
      <xdr:rowOff>142604</xdr:rowOff>
    </xdr:from>
    <xdr:to>
      <xdr:col>3</xdr:col>
      <xdr:colOff>707571</xdr:colOff>
      <xdr:row>17</xdr:row>
      <xdr:rowOff>94979</xdr:rowOff>
    </xdr:to>
    <mc:AlternateContent xmlns:mc="http://schemas.openxmlformats.org/markup-compatibility/2006" xmlns:a14="http://schemas.microsoft.com/office/drawing/2010/main">
      <mc:Choice Requires="a14">
        <xdr:graphicFrame macro="">
          <xdr:nvGraphicFramePr>
            <xdr:cNvPr id="2" name="Education 1">
              <a:extLst>
                <a:ext uri="{FF2B5EF4-FFF2-40B4-BE49-F238E27FC236}">
                  <a16:creationId xmlns:a16="http://schemas.microsoft.com/office/drawing/2014/main" id="{BD236693-E6B7-462A-9FD5-B305D4039587}"/>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4394859" y="4991695"/>
              <a:ext cx="1826821" cy="2667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555170</xdr:colOff>
      <xdr:row>1</xdr:row>
      <xdr:rowOff>43541</xdr:rowOff>
    </xdr:from>
    <xdr:to>
      <xdr:col>12</xdr:col>
      <xdr:colOff>651163</xdr:colOff>
      <xdr:row>24</xdr:row>
      <xdr:rowOff>96981</xdr:rowOff>
    </xdr:to>
    <xdr:graphicFrame macro="">
      <xdr:nvGraphicFramePr>
        <xdr:cNvPr id="5" name="Chart 4">
          <a:extLst>
            <a:ext uri="{FF2B5EF4-FFF2-40B4-BE49-F238E27FC236}">
              <a16:creationId xmlns:a16="http://schemas.microsoft.com/office/drawing/2014/main" id="{DCD2BDD2-5D2E-4496-83A9-E035BED22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609600</xdr:colOff>
      <xdr:row>0</xdr:row>
      <xdr:rowOff>170330</xdr:rowOff>
    </xdr:from>
    <xdr:to>
      <xdr:col>13</xdr:col>
      <xdr:colOff>71718</xdr:colOff>
      <xdr:row>14</xdr:row>
      <xdr:rowOff>152400</xdr:rowOff>
    </xdr:to>
    <xdr:graphicFrame macro="">
      <xdr:nvGraphicFramePr>
        <xdr:cNvPr id="8" name="Chart 7">
          <a:extLst>
            <a:ext uri="{FF2B5EF4-FFF2-40B4-BE49-F238E27FC236}">
              <a16:creationId xmlns:a16="http://schemas.microsoft.com/office/drawing/2014/main" id="{1E923072-530A-44FE-AAED-164F9854EF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923365</xdr:colOff>
      <xdr:row>0</xdr:row>
      <xdr:rowOff>0</xdr:rowOff>
    </xdr:from>
    <xdr:to>
      <xdr:col>7</xdr:col>
      <xdr:colOff>627529</xdr:colOff>
      <xdr:row>13</xdr:row>
      <xdr:rowOff>107576</xdr:rowOff>
    </xdr:to>
    <xdr:graphicFrame macro="">
      <xdr:nvGraphicFramePr>
        <xdr:cNvPr id="2" name="Chart 1">
          <a:extLst>
            <a:ext uri="{FF2B5EF4-FFF2-40B4-BE49-F238E27FC236}">
              <a16:creationId xmlns:a16="http://schemas.microsoft.com/office/drawing/2014/main" id="{7C1B6D31-1993-46DE-A8BB-8F9C2CC01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543198</xdr:colOff>
      <xdr:row>3</xdr:row>
      <xdr:rowOff>97972</xdr:rowOff>
    </xdr:from>
    <xdr:to>
      <xdr:col>12</xdr:col>
      <xdr:colOff>673826</xdr:colOff>
      <xdr:row>10</xdr:row>
      <xdr:rowOff>108858</xdr:rowOff>
    </xdr:to>
    <mc:AlternateContent xmlns:mc="http://schemas.openxmlformats.org/markup-compatibility/2006" xmlns:a14="http://schemas.microsoft.com/office/drawing/2010/main">
      <mc:Choice Requires="a14">
        <xdr:graphicFrame macro="">
          <xdr:nvGraphicFramePr>
            <xdr:cNvPr id="2" name="Department 2">
              <a:extLst>
                <a:ext uri="{FF2B5EF4-FFF2-40B4-BE49-F238E27FC236}">
                  <a16:creationId xmlns:a16="http://schemas.microsoft.com/office/drawing/2014/main" id="{76EB67D5-59CA-4188-8AA8-660393E763EE}"/>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0329455" y="5780315"/>
              <a:ext cx="1828800" cy="1382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10885</xdr:colOff>
      <xdr:row>3</xdr:row>
      <xdr:rowOff>99061</xdr:rowOff>
    </xdr:from>
    <xdr:to>
      <xdr:col>10</xdr:col>
      <xdr:colOff>141514</xdr:colOff>
      <xdr:row>14</xdr:row>
      <xdr:rowOff>152400</xdr:rowOff>
    </xdr:to>
    <mc:AlternateContent xmlns:mc="http://schemas.openxmlformats.org/markup-compatibility/2006" xmlns:a14="http://schemas.microsoft.com/office/drawing/2010/main">
      <mc:Choice Requires="a14">
        <xdr:graphicFrame macro="">
          <xdr:nvGraphicFramePr>
            <xdr:cNvPr id="7" name="Education Field 6">
              <a:extLst>
                <a:ext uri="{FF2B5EF4-FFF2-40B4-BE49-F238E27FC236}">
                  <a16:creationId xmlns:a16="http://schemas.microsoft.com/office/drawing/2014/main" id="{E83F7AE0-5696-4163-86E4-559B0C86048B}"/>
                </a:ext>
              </a:extLst>
            </xdr:cNvPr>
            <xdr:cNvGraphicFramePr/>
          </xdr:nvGraphicFramePr>
          <xdr:xfrm>
            <a:off x="0" y="0"/>
            <a:ext cx="0" cy="0"/>
          </xdr:xfrm>
          <a:graphic>
            <a:graphicData uri="http://schemas.microsoft.com/office/drawing/2010/slicer">
              <sle:slicer xmlns:sle="http://schemas.microsoft.com/office/drawing/2010/slicer" name="Education Field 6"/>
            </a:graphicData>
          </a:graphic>
        </xdr:graphicFrame>
      </mc:Choice>
      <mc:Fallback xmlns="">
        <xdr:sp macro="" textlink="">
          <xdr:nvSpPr>
            <xdr:cNvPr id="0" name=""/>
            <xdr:cNvSpPr>
              <a:spLocks noTextEdit="1"/>
            </xdr:cNvSpPr>
          </xdr:nvSpPr>
          <xdr:spPr>
            <a:xfrm>
              <a:off x="8098971" y="5781404"/>
              <a:ext cx="1828800" cy="22087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414746</xdr:colOff>
      <xdr:row>3</xdr:row>
      <xdr:rowOff>100147</xdr:rowOff>
    </xdr:from>
    <xdr:to>
      <xdr:col>7</xdr:col>
      <xdr:colOff>545375</xdr:colOff>
      <xdr:row>11</xdr:row>
      <xdr:rowOff>54428</xdr:rowOff>
    </xdr:to>
    <mc:AlternateContent xmlns:mc="http://schemas.openxmlformats.org/markup-compatibility/2006" xmlns:a14="http://schemas.microsoft.com/office/drawing/2010/main">
      <mc:Choice Requires="a14">
        <xdr:graphicFrame macro="">
          <xdr:nvGraphicFramePr>
            <xdr:cNvPr id="8" name="Marital Status 1">
              <a:extLst>
                <a:ext uri="{FF2B5EF4-FFF2-40B4-BE49-F238E27FC236}">
                  <a16:creationId xmlns:a16="http://schemas.microsoft.com/office/drawing/2014/main" id="{5DE2726B-3D32-49BD-B940-A289AF9912F9}"/>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5955575" y="5782490"/>
              <a:ext cx="1828800" cy="1521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195943</xdr:colOff>
      <xdr:row>2</xdr:row>
      <xdr:rowOff>141514</xdr:rowOff>
    </xdr:from>
    <xdr:to>
      <xdr:col>18</xdr:col>
      <xdr:colOff>522514</xdr:colOff>
      <xdr:row>16</xdr:row>
      <xdr:rowOff>141514</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87D71675-534D-4B93-A151-8343D41C6E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570823" y="537754"/>
              <a:ext cx="4593771" cy="2773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5.068059259262" createdVersion="8" refreshedVersion="7" minRefreshableVersion="3" recordCount="1470" xr:uid="{C13B1C94-179E-C34C-AAFB-5E95AAAD35F3}">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9F84E1-AB12-441F-8E46-FB1D815D4534}" name="KPI1st"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C3"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 no" fld="6"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0C01E8-BAEE-47C3-984C-67BD74BFD339}" name="rating"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A5"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9"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FF9EB9-4E2A-4AE4-8A8D-7209A623491F}" name="gender"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B8"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D5118C-CBD0-444C-BDFC-9852A2F25DDC}" name="job role"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JOB ROLE">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9"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B3FBB3-1EC3-4696-A9C1-A1C9F5CD3562}" name="education"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B11"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3" count="1" selected="0">
            <x v="1"/>
          </reference>
        </references>
      </pivotArea>
    </chartFormat>
    <chartFormat chart="0" format="2">
      <pivotArea type="data" outline="0" fieldPosition="0">
        <references count="2">
          <reference field="4294967294" count="1" selected="0">
            <x v="0"/>
          </reference>
          <reference field="23"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3" count="1" selected="0">
            <x v="1"/>
          </reference>
        </references>
      </pivotArea>
    </chartFormat>
    <chartFormat chart="2" format="6">
      <pivotArea type="data" outline="0" fieldPosition="0">
        <references count="2">
          <reference field="4294967294" count="1" selected="0">
            <x v="0"/>
          </reference>
          <reference field="23" count="1" selected="0">
            <x v="2"/>
          </reference>
        </references>
      </pivotArea>
    </chartFormat>
    <chartFormat chart="2" format="7">
      <pivotArea type="data" outline="0" fieldPosition="0">
        <references count="2">
          <reference field="4294967294" count="1" selected="0">
            <x v="0"/>
          </reference>
          <reference field="23" count="1" selected="0">
            <x v="3"/>
          </reference>
        </references>
      </pivotArea>
    </chartFormat>
    <chartFormat chart="2" format="8">
      <pivotArea type="data" outline="0" fieldPosition="0">
        <references count="2">
          <reference field="4294967294" count="1" selected="0">
            <x v="0"/>
          </reference>
          <reference field="23" count="1" selected="0">
            <x v="0"/>
          </reference>
        </references>
      </pivotArea>
    </chartFormat>
    <chartFormat chart="2" format="9">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A1FC8C-4E04-4D66-8AE8-7C3D5674AEF1}" name="department"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4:B8"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C76BFE-C946-4FC9-A1D5-0567D5AD427C}" name="age group"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9" firstHeaderRow="1" firstDataRow="1" firstDataCol="1"/>
  <pivotFields count="44">
    <pivotField showAll="0"/>
    <pivotField showAll="0"/>
    <pivotField axis="axisRow" showAll="0" sortType="descending">
      <items count="6">
        <item x="4"/>
        <item x="3"/>
        <item x="1"/>
        <item x="0"/>
        <item x="2"/>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4"/>
    </i>
    <i>
      <x v="3"/>
    </i>
    <i>
      <x v="2"/>
    </i>
    <i>
      <x/>
    </i>
    <i>
      <x v="1"/>
    </i>
    <i t="grand">
      <x/>
    </i>
  </rowItems>
  <colItems count="1">
    <i/>
  </colItems>
  <dataFields count="1">
    <dataField name="Count of CF_attrition count" fld="17" subtotal="count" baseField="2" baseItem="0"/>
  </dataFields>
  <formats count="1">
    <format dxfId="10">
      <pivotArea dataOnly="0" labelOnly="1" fieldPosition="0">
        <references count="1">
          <reference field="2" count="1">
            <x v="4"/>
          </reference>
        </references>
      </pivotArea>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5FEBE8-B0B0-4A8E-8741-3978BF37F897}" name="marriage"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B11"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measureFilter="1"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10" baseItem="0"/>
  </dataFields>
  <pivotTableStyleInfo name="PivotStyleLight16" showRowHeaders="1" showColHeaders="1" showRowStripes="0" showColStripes="0" showLastColumn="1"/>
  <filters count="1">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D149C4E3-ACF1-4A12-AA5A-D6A0E812B842}" sourceName="Education Field">
  <pivotTables>
    <pivotTable tabId="10" name="gender"/>
    <pivotTable tabId="15" name="age group"/>
    <pivotTable tabId="13" name="job role"/>
    <pivotTable tabId="16" name="marriage"/>
    <pivotTable tabId="14" name="department"/>
    <pivotTable tabId="12" name="education"/>
    <pivotTable tabId="7" name="KPI1st"/>
    <pivotTable tabId="9" name="rating"/>
  </pivotTables>
  <data>
    <tabular pivotCacheId="1538952553">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4C1CB2CD-4E25-40BA-B82D-230BE3C17342}" sourceName="Gender">
  <pivotTables>
    <pivotTable tabId="10" name="gender"/>
    <pivotTable tabId="15" name="age group"/>
    <pivotTable tabId="13" name="job role"/>
    <pivotTable tabId="16" name="marriage"/>
    <pivotTable tabId="14" name="department"/>
    <pivotTable tabId="12" name="education"/>
    <pivotTable tabId="7" name="KPI1st"/>
    <pivotTable tabId="9" name="rating"/>
  </pivotTables>
  <data>
    <tabular pivotCacheId="153895255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81E9AADF-5A3A-417C-B178-D4BD45AAB96E}" sourceName="Education">
  <pivotTables>
    <pivotTable tabId="12" name="education"/>
    <pivotTable tabId="15" name="age group"/>
    <pivotTable tabId="13" name="job role"/>
    <pivotTable tabId="16" name="marriage"/>
    <pivotTable tabId="14" name="department"/>
    <pivotTable tabId="10" name="gender"/>
    <pivotTable tabId="7" name="KPI1st"/>
    <pivotTable tabId="9" name="rating"/>
  </pivotTables>
  <data>
    <tabular pivotCacheId="1538952553">
      <items count="5">
        <i x="0" s="1"/>
        <i x="3" s="1"/>
        <i x="4"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EDFC7B59-307C-4883-B118-6AB2BEC2AC8E}" sourceName="Department">
  <pivotTables>
    <pivotTable tabId="16" name="marriage"/>
    <pivotTable tabId="15" name="age group"/>
    <pivotTable tabId="13" name="job role"/>
    <pivotTable tabId="14" name="department"/>
    <pivotTable tabId="12" name="education"/>
    <pivotTable tabId="10" name="gender"/>
    <pivotTable tabId="7" name="KPI1st"/>
    <pivotTable tabId="9" name="rating"/>
  </pivotTables>
  <data>
    <tabular pivotCacheId="153895255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6EFBA8CA-A51D-4C96-8662-8249FB63DB21}" sourceName="Marital Status">
  <pivotTables>
    <pivotTable tabId="16" name="marriage"/>
  </pivotTables>
  <data>
    <tabular pivotCacheId="153895255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7" xr10:uid="{082F84D3-2907-490E-828C-3706D7839D5E}" cache="Slicer_Education_Field1" caption="Education Field" columnCount="2" style="SlicerStyleLight6" rowHeight="260350"/>
  <slicer name="Gender 7" xr10:uid="{9B0147F6-1B62-4909-8630-261D6FCCA38F}" cache="Slicer_Gender3" caption="Gender" columnCount="2" style="SlicerStyleLight6" rowHeight="260350"/>
  <slicer name="Department 3" xr10:uid="{B8F2F0F4-D0A6-4135-8088-DFC8921B3178}" cache="Slicer_Department1" caption="Department" style="SlicerStyleLight6"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69E10D7C-E04E-4045-AB8C-F44EAC56C442}" cache="Slicer_Gender3" caption="Gender"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4" xr10:uid="{710E2A3B-D7E8-4B20-9AD5-97E9F7FE437F}" cache="Slicer_Education_Field1" caption="Education Field" rowHeight="260350"/>
  <slicer name="Gender 5" xr10:uid="{06E73807-42D0-45C3-9912-1ADEF4DD1524}" cache="Slicer_Gender3" caption="Gender"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5" xr10:uid="{866EDB2F-804D-4D97-BDED-B4B571B6DDD0}" cache="Slicer_Education_Field1" caption="Education Field" rowHeight="260350"/>
  <slicer name="Gender 6" xr10:uid="{CBB53897-0D2C-4C4C-A27E-E5C8E7905FDD}" cache="Slicer_Gender3" caption="Gender" columnCount="2"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1" xr10:uid="{FF0B6C6F-21B5-477B-8565-1B86EB557BF6}" cache="Slicer_Education1" caption="Education" rowHeight="2603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6" xr10:uid="{1F52F595-5C4A-4FBF-9597-64CE2B44CD60}" cache="Slicer_Education_Field1" caption="Education Field" rowHeight="260350"/>
  <slicer name="Department 2" xr10:uid="{5F5C8D64-45A3-4DA6-9751-546ED547928E}" cache="Slicer_Department1" caption="Department" rowHeight="260350"/>
  <slicer name="Marital Status 1" xr10:uid="{79FEBE46-2DB5-4778-9D48-19FC9B5606C2}" cache="Slicer_Marital_Status1" caption="Marital Statu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autoFilter ref="A1:AR1471" xr:uid="{6BFE3855-D866-4168-8DBC-0381D676C609}"/>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2FA18A-8496-41B6-A96A-355C8D518367}" name="Table5" displayName="Table5" ref="E3:F12" totalsRowShown="0">
  <autoFilter ref="E3:F12" xr:uid="{262FA18A-8496-41B6-A96A-355C8D518367}"/>
  <tableColumns count="2">
    <tableColumn id="1" xr3:uid="{2E331B15-437E-4886-8336-2ACDA09A0832}" name="JOB ROLE">
      <calculatedColumnFormula>A4</calculatedColumnFormula>
    </tableColumn>
    <tableColumn id="2" xr3:uid="{1BC8B776-39FF-473C-B0EB-6723BEF0F359}" name="Count of CF_attrition 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3.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CD212-A267-4582-A5EF-A32E798FA347}">
  <sheetPr codeName="Sheet15">
    <pageSetUpPr fitToPage="1"/>
  </sheetPr>
  <dimension ref="A1"/>
  <sheetViews>
    <sheetView showGridLines="0" tabSelected="1" zoomScale="62" zoomScaleNormal="62" workbookViewId="0">
      <selection activeCell="X28" sqref="X28"/>
    </sheetView>
  </sheetViews>
  <sheetFormatPr defaultColWidth="8.796875" defaultRowHeight="15.6" x14ac:dyDescent="0.3"/>
  <sheetData/>
  <pageMargins left="0.7" right="0.7" top="0.75" bottom="0.75" header="0.3" footer="0.3"/>
  <pageSetup scale="49"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sheetPr codeName="Sheet1"/>
  <dimension ref="A1:AR1471"/>
  <sheetViews>
    <sheetView workbookViewId="0">
      <pane ySplit="1" topLeftCell="A2" activePane="bottomLeft" state="frozen"/>
      <selection pane="bottomLeft" activeCell="U1" sqref="A1:AR1471"/>
    </sheetView>
  </sheetViews>
  <sheetFormatPr defaultColWidth="8.796875" defaultRowHeight="15.6" x14ac:dyDescent="0.3"/>
  <cols>
    <col min="1" max="1" width="10.5" bestFit="1" customWidth="1"/>
    <col min="2" max="2" width="16.5" bestFit="1" customWidth="1"/>
    <col min="3" max="3" width="14.19921875" bestFit="1" customWidth="1"/>
    <col min="4" max="4" width="17.796875" bestFit="1" customWidth="1"/>
    <col min="5" max="5" width="13.69921875" bestFit="1" customWidth="1"/>
    <col min="6" max="6" width="16.19921875" bestFit="1" customWidth="1"/>
    <col min="7" max="7" width="11" bestFit="1" customWidth="1"/>
    <col min="8" max="8" width="19.19921875" bestFit="1" customWidth="1"/>
    <col min="9" max="9" width="9.69921875" bestFit="1" customWidth="1"/>
    <col min="10" max="10" width="23.19921875" bestFit="1" customWidth="1"/>
    <col min="11" max="11" width="15.296875" bestFit="1" customWidth="1"/>
    <col min="12" max="12" width="12.296875" bestFit="1" customWidth="1"/>
    <col min="13" max="13" width="9.69921875" bestFit="1" customWidth="1"/>
    <col min="14" max="14" width="24.19921875" bestFit="1" customWidth="1"/>
    <col min="15" max="15" width="5.296875" bestFit="1" customWidth="1"/>
    <col min="16" max="16" width="4.69921875" bestFit="1" customWidth="1"/>
    <col min="17" max="17" width="6.796875" bestFit="1" customWidth="1"/>
    <col min="18" max="18" width="18.296875" bestFit="1" customWidth="1"/>
    <col min="19" max="19" width="19.296875" bestFit="1" customWidth="1"/>
    <col min="20" max="20" width="17.19921875" bestFit="1" customWidth="1"/>
    <col min="21" max="21" width="21.296875" bestFit="1" customWidth="1"/>
    <col min="22" max="22" width="12.296875" bestFit="1" customWidth="1"/>
    <col min="23" max="23" width="21.296875" bestFit="1" customWidth="1"/>
    <col min="24" max="24" width="16.296875" bestFit="1" customWidth="1"/>
    <col min="25" max="25" width="17" bestFit="1" customWidth="1"/>
    <col min="26" max="26" width="24.69921875" bestFit="1" customWidth="1"/>
    <col min="27" max="27" width="13.5" bestFit="1" customWidth="1"/>
    <col min="28" max="28" width="17.19921875" bestFit="1" customWidth="1"/>
    <col min="29" max="29" width="11.19921875" bestFit="1" customWidth="1"/>
    <col min="30" max="30" width="16.5" bestFit="1" customWidth="1"/>
    <col min="31" max="31" width="17" bestFit="1" customWidth="1"/>
    <col min="32" max="32" width="14.796875" bestFit="1" customWidth="1"/>
    <col min="33" max="33" width="24.5" bestFit="1" customWidth="1"/>
    <col min="34" max="34" width="20" bestFit="1" customWidth="1"/>
    <col min="35" max="35" width="20.19921875" bestFit="1" customWidth="1"/>
    <col min="36" max="36" width="24.296875" bestFit="1" customWidth="1"/>
    <col min="37" max="37" width="16.296875" bestFit="1" customWidth="1"/>
    <col min="38" max="38" width="19.19921875" bestFit="1" customWidth="1"/>
    <col min="39" max="39" width="20.5" bestFit="1" customWidth="1"/>
    <col min="40" max="41" width="18.796875" bestFit="1" customWidth="1"/>
    <col min="42" max="42" width="21" bestFit="1" customWidth="1"/>
    <col min="43" max="43" width="26.19921875" bestFit="1" customWidth="1"/>
    <col min="44" max="44" width="24.69921875"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BEF-E240-C74D-AEB1-53390C8822FC}">
  <sheetPr codeName="Sheet2"/>
  <dimension ref="A2:E6"/>
  <sheetViews>
    <sheetView workbookViewId="0">
      <selection activeCell="A3" sqref="A3"/>
    </sheetView>
  </sheetViews>
  <sheetFormatPr defaultColWidth="11.19921875" defaultRowHeight="15.6" x14ac:dyDescent="0.3"/>
  <cols>
    <col min="1" max="1" width="15.19921875" bestFit="1" customWidth="1"/>
    <col min="2" max="2" width="22.796875" bestFit="1" customWidth="1"/>
    <col min="3" max="3" width="13.5" bestFit="1" customWidth="1"/>
    <col min="4" max="1470" width="15.19921875" bestFit="1" customWidth="1"/>
    <col min="1471" max="1471" width="10.8984375" bestFit="1" customWidth="1"/>
  </cols>
  <sheetData>
    <row r="2" spans="1:5" x14ac:dyDescent="0.3">
      <c r="A2" t="s">
        <v>1567</v>
      </c>
      <c r="B2" t="s">
        <v>1555</v>
      </c>
      <c r="C2" t="s">
        <v>1556</v>
      </c>
    </row>
    <row r="3" spans="1:5" x14ac:dyDescent="0.3">
      <c r="A3" s="1">
        <v>1470</v>
      </c>
      <c r="B3" s="1">
        <v>237</v>
      </c>
      <c r="C3" s="1">
        <v>36.923809523809524</v>
      </c>
    </row>
    <row r="5" spans="1:5" x14ac:dyDescent="0.3">
      <c r="A5" t="s">
        <v>1557</v>
      </c>
      <c r="B5" t="s">
        <v>1568</v>
      </c>
      <c r="C5" t="s">
        <v>1558</v>
      </c>
      <c r="D5" t="s">
        <v>1559</v>
      </c>
      <c r="E5" t="s">
        <v>1560</v>
      </c>
    </row>
    <row r="6" spans="1:5" x14ac:dyDescent="0.3">
      <c r="A6">
        <f>GETPIVOTDATA("Count of emp no",$A$2)</f>
        <v>1470</v>
      </c>
      <c r="B6">
        <f>GETPIVOTDATA("Sum of CF_attrition count",$A$2)</f>
        <v>237</v>
      </c>
      <c r="C6" s="3">
        <f>GETPIVOTDATA("Average of Age",$A$2)</f>
        <v>36.923809523809524</v>
      </c>
      <c r="D6">
        <f>GETPIVOTDATA("Count of emp no",$A$2)-GETPIVOTDATA("Sum of CF_attrition count",$A$2)</f>
        <v>1233</v>
      </c>
      <c r="E6" s="2">
        <f>GETPIVOTDATA("Sum of CF_attrition count",$A$2)/GETPIVOTDATA("Count of emp no",$A$2)</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EDF3-A465-8B44-B56A-026E0C479855}">
  <sheetPr codeName="Sheet3"/>
  <dimension ref="A4:C9"/>
  <sheetViews>
    <sheetView workbookViewId="0">
      <selection activeCell="A4" sqref="A4"/>
    </sheetView>
  </sheetViews>
  <sheetFormatPr defaultColWidth="11.19921875" defaultRowHeight="15.6" x14ac:dyDescent="0.3"/>
  <cols>
    <col min="1" max="1" width="23.69921875" bestFit="1" customWidth="1"/>
    <col min="2" max="2" width="11.8984375" bestFit="1" customWidth="1"/>
  </cols>
  <sheetData>
    <row r="4" spans="1:3" x14ac:dyDescent="0.3">
      <c r="A4" t="s">
        <v>1561</v>
      </c>
    </row>
    <row r="5" spans="1:3" x14ac:dyDescent="0.3">
      <c r="A5" s="3">
        <v>2.6265306122448981</v>
      </c>
    </row>
    <row r="8" spans="1:3" x14ac:dyDescent="0.3">
      <c r="A8" t="s">
        <v>1562</v>
      </c>
      <c r="B8" s="3">
        <f>GETPIVOTDATA("Job Satisfaction",$A$4)</f>
        <v>2.6265306122448981</v>
      </c>
      <c r="C8" s="7">
        <f>GETPIVOTDATA("Job Satisfaction",$A$4)/4</f>
        <v>0.65663265306122454</v>
      </c>
    </row>
    <row r="9" spans="1:3" x14ac:dyDescent="0.3">
      <c r="A9" s="3" t="s">
        <v>1563</v>
      </c>
      <c r="B9" s="6">
        <f>4-GETPIVOTDATA("Job Satisfaction",$A$4)</f>
        <v>1.3734693877551019</v>
      </c>
      <c r="C9" s="7">
        <f>B9/4</f>
        <v>0.34336734693877546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AC24-4CB3-1445-B5D4-2BE54CDA3CB6}">
  <sheetPr codeName="Sheet4"/>
  <dimension ref="A5:C12"/>
  <sheetViews>
    <sheetView zoomScale="70" zoomScaleNormal="70" workbookViewId="0">
      <selection activeCell="B7" sqref="B7"/>
    </sheetView>
  </sheetViews>
  <sheetFormatPr defaultColWidth="11.19921875" defaultRowHeight="15.6" x14ac:dyDescent="0.3"/>
  <cols>
    <col min="1" max="1" width="13.19921875" bestFit="1" customWidth="1"/>
    <col min="2" max="2" width="24.69921875" bestFit="1" customWidth="1"/>
    <col min="3" max="3" width="12.19921875" bestFit="1" customWidth="1"/>
    <col min="4" max="7" width="2.19921875" bestFit="1" customWidth="1"/>
    <col min="8" max="77" width="3.19921875" bestFit="1" customWidth="1"/>
    <col min="78" max="718" width="4.19921875" bestFit="1" customWidth="1"/>
    <col min="719" max="1471" width="5.19921875" bestFit="1" customWidth="1"/>
  </cols>
  <sheetData>
    <row r="5" spans="1:3" x14ac:dyDescent="0.3">
      <c r="A5" s="4" t="s">
        <v>1564</v>
      </c>
      <c r="B5" t="s">
        <v>1554</v>
      </c>
    </row>
    <row r="6" spans="1:3" x14ac:dyDescent="0.3">
      <c r="A6" s="5" t="s">
        <v>51</v>
      </c>
      <c r="B6" s="1">
        <v>588</v>
      </c>
    </row>
    <row r="7" spans="1:3" x14ac:dyDescent="0.3">
      <c r="A7" s="5" t="s">
        <v>62</v>
      </c>
      <c r="B7" s="1">
        <v>882</v>
      </c>
    </row>
    <row r="8" spans="1:3" x14ac:dyDescent="0.3">
      <c r="A8" s="5" t="s">
        <v>1565</v>
      </c>
      <c r="B8" s="1">
        <v>1470</v>
      </c>
    </row>
    <row r="11" spans="1:3" x14ac:dyDescent="0.3">
      <c r="A11" s="5" t="s">
        <v>51</v>
      </c>
      <c r="B11">
        <f>IFERROR(GETPIVOTDATA("Employee Number",$A$5,"Gender","Female"),0)</f>
        <v>588</v>
      </c>
      <c r="C11" s="9">
        <f>B11/(B11+B12)</f>
        <v>0.4</v>
      </c>
    </row>
    <row r="12" spans="1:3" x14ac:dyDescent="0.3">
      <c r="A12" s="5" t="s">
        <v>62</v>
      </c>
      <c r="B12">
        <f>IFERROR(GETPIVOTDATA("Employee Number",$A$5,"Gender","Male"),0)</f>
        <v>882</v>
      </c>
      <c r="C12" s="9">
        <f>B12/(B11+B12)</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AF00-B912-6F4C-8392-B6F8FBFD21FB}">
  <sheetPr codeName="Sheet6"/>
  <dimension ref="A3:F13"/>
  <sheetViews>
    <sheetView zoomScale="55" zoomScaleNormal="55" workbookViewId="0">
      <selection activeCell="B9" sqref="B9"/>
    </sheetView>
  </sheetViews>
  <sheetFormatPr defaultColWidth="11.19921875" defaultRowHeight="15.6" x14ac:dyDescent="0.3"/>
  <cols>
    <col min="1" max="1" width="26.296875" bestFit="1" customWidth="1"/>
    <col min="2" max="2" width="32.296875" bestFit="1" customWidth="1"/>
    <col min="5" max="5" width="23.19921875" bestFit="1" customWidth="1"/>
    <col min="6" max="6" width="25.69921875" customWidth="1"/>
  </cols>
  <sheetData>
    <row r="3" spans="1:6" x14ac:dyDescent="0.3">
      <c r="A3" s="4" t="s">
        <v>1569</v>
      </c>
      <c r="B3" t="s">
        <v>1566</v>
      </c>
      <c r="E3" t="s">
        <v>1569</v>
      </c>
      <c r="F3" t="s">
        <v>1566</v>
      </c>
    </row>
    <row r="4" spans="1:6" x14ac:dyDescent="0.3">
      <c r="A4" s="5" t="s">
        <v>83</v>
      </c>
      <c r="B4" s="1">
        <v>131</v>
      </c>
      <c r="E4" t="str">
        <f>A4</f>
        <v>Healthcare Representative</v>
      </c>
      <c r="F4">
        <f>GETPIVOTDATA("CF_attrition count",$A$3,"Job Role","Healthcare Representative")</f>
        <v>131</v>
      </c>
    </row>
    <row r="5" spans="1:6" x14ac:dyDescent="0.3">
      <c r="A5" s="5" t="s">
        <v>163</v>
      </c>
      <c r="B5" s="1">
        <v>52</v>
      </c>
      <c r="E5" t="str">
        <f>A5</f>
        <v>Human Resources</v>
      </c>
      <c r="F5">
        <f>GETPIVOTDATA("CF_attrition count",$A$3,"Job Role","Human Resources")</f>
        <v>52</v>
      </c>
    </row>
    <row r="6" spans="1:6" x14ac:dyDescent="0.3">
      <c r="A6" s="5" t="s">
        <v>68</v>
      </c>
      <c r="B6" s="1">
        <v>259</v>
      </c>
      <c r="E6" t="str">
        <f>A6</f>
        <v>Laboratory Technician</v>
      </c>
      <c r="F6">
        <f>GETPIVOTDATA("CF_attrition count",$A$3,"Job Role","Laboratory Technician")</f>
        <v>259</v>
      </c>
    </row>
    <row r="7" spans="1:6" x14ac:dyDescent="0.3">
      <c r="A7" s="5" t="s">
        <v>95</v>
      </c>
      <c r="B7" s="1">
        <v>102</v>
      </c>
      <c r="E7" t="s">
        <v>95</v>
      </c>
      <c r="F7">
        <f>GETPIVOTDATA("CF_attrition count",$A$3,"Job Role","Manager")</f>
        <v>102</v>
      </c>
    </row>
    <row r="8" spans="1:6" x14ac:dyDescent="0.3">
      <c r="A8" s="5" t="s">
        <v>81</v>
      </c>
      <c r="B8" s="1">
        <v>145</v>
      </c>
      <c r="E8" t="str">
        <f>A8</f>
        <v>Manufacturing Director</v>
      </c>
      <c r="F8">
        <f>GETPIVOTDATA("CF_attrition count",$A$3,"Job Role","Manufacturing Director")</f>
        <v>145</v>
      </c>
    </row>
    <row r="9" spans="1:6" x14ac:dyDescent="0.3">
      <c r="A9" s="5" t="s">
        <v>101</v>
      </c>
      <c r="B9" s="1">
        <v>80</v>
      </c>
      <c r="E9" t="str">
        <f>A9</f>
        <v>Research Director</v>
      </c>
      <c r="F9">
        <f>GETPIVOTDATA("CF_attrition count",$A$3,"Job Role","Research Director")</f>
        <v>80</v>
      </c>
    </row>
    <row r="10" spans="1:6" x14ac:dyDescent="0.3">
      <c r="A10" s="5" t="s">
        <v>63</v>
      </c>
      <c r="B10" s="1">
        <v>292</v>
      </c>
      <c r="E10" t="str">
        <f>A10</f>
        <v>Research Scientist</v>
      </c>
      <c r="F10">
        <f>GETPIVOTDATA("CF_attrition count",$A$3,"Job Role","Research Scientist")</f>
        <v>292</v>
      </c>
    </row>
    <row r="11" spans="1:6" x14ac:dyDescent="0.3">
      <c r="A11" s="5" t="s">
        <v>52</v>
      </c>
      <c r="B11" s="1">
        <v>326</v>
      </c>
      <c r="E11" t="str">
        <f>A11</f>
        <v>Sales Executive</v>
      </c>
      <c r="F11">
        <f>GETPIVOTDATA("CF_attrition count",$A$3,"Job Role","Sales Executive")</f>
        <v>326</v>
      </c>
    </row>
    <row r="12" spans="1:6" x14ac:dyDescent="0.3">
      <c r="A12" s="5" t="s">
        <v>99</v>
      </c>
      <c r="B12" s="1">
        <v>83</v>
      </c>
      <c r="E12" t="str">
        <f>A12</f>
        <v>Sales Representative</v>
      </c>
      <c r="F12">
        <f>GETPIVOTDATA("CF_attrition count",$A$3,"Job Role","Sales Representative")</f>
        <v>83</v>
      </c>
    </row>
    <row r="13" spans="1:6" x14ac:dyDescent="0.3">
      <c r="A13" s="5" t="s">
        <v>1565</v>
      </c>
      <c r="B13" s="1">
        <v>1470</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5AE9-F2EE-D64D-AC19-762577B5795D}">
  <sheetPr codeName="Sheet5"/>
  <dimension ref="A5:B11"/>
  <sheetViews>
    <sheetView zoomScale="55" zoomScaleNormal="55" workbookViewId="0">
      <selection activeCell="B9" sqref="B9"/>
    </sheetView>
  </sheetViews>
  <sheetFormatPr defaultColWidth="11.19921875" defaultRowHeight="15.6" x14ac:dyDescent="0.3"/>
  <cols>
    <col min="1" max="1" width="19" bestFit="1" customWidth="1"/>
    <col min="2" max="2" width="30.796875" bestFit="1" customWidth="1"/>
    <col min="3" max="3" width="22.5" bestFit="1" customWidth="1"/>
  </cols>
  <sheetData>
    <row r="5" spans="1:2" x14ac:dyDescent="0.3">
      <c r="A5" s="4" t="s">
        <v>1564</v>
      </c>
      <c r="B5" t="s">
        <v>1555</v>
      </c>
    </row>
    <row r="6" spans="1:2" x14ac:dyDescent="0.3">
      <c r="A6" s="5" t="s">
        <v>134</v>
      </c>
      <c r="B6" s="1">
        <v>5</v>
      </c>
    </row>
    <row r="7" spans="1:2" x14ac:dyDescent="0.3">
      <c r="A7" s="5" t="s">
        <v>65</v>
      </c>
      <c r="B7" s="1">
        <v>31</v>
      </c>
    </row>
    <row r="8" spans="1:2" x14ac:dyDescent="0.3">
      <c r="A8" s="5" t="s">
        <v>55</v>
      </c>
      <c r="B8" s="1">
        <v>44</v>
      </c>
    </row>
    <row r="9" spans="1:2" x14ac:dyDescent="0.3">
      <c r="A9" s="5" t="s">
        <v>71</v>
      </c>
      <c r="B9" s="1">
        <v>58</v>
      </c>
    </row>
    <row r="10" spans="1:2" x14ac:dyDescent="0.3">
      <c r="A10" s="5" t="s">
        <v>77</v>
      </c>
      <c r="B10" s="1">
        <v>99</v>
      </c>
    </row>
    <row r="11" spans="1:2" x14ac:dyDescent="0.3">
      <c r="A11" s="5" t="s">
        <v>1565</v>
      </c>
      <c r="B11" s="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3CEE-CFED-E34D-BC8F-89FC3EB64D32}">
  <sheetPr codeName="Sheet7"/>
  <dimension ref="A4:G10"/>
  <sheetViews>
    <sheetView zoomScale="85" zoomScaleNormal="85" workbookViewId="0">
      <selection activeCell="B6" sqref="B6"/>
    </sheetView>
  </sheetViews>
  <sheetFormatPr defaultColWidth="11.19921875" defaultRowHeight="15.6" x14ac:dyDescent="0.3"/>
  <cols>
    <col min="1" max="1" width="12.796875" bestFit="1" customWidth="1"/>
    <col min="2" max="2" width="22.796875" bestFit="1" customWidth="1"/>
    <col min="3" max="3" width="10.09765625" bestFit="1" customWidth="1"/>
    <col min="4" max="4" width="11" bestFit="1" customWidth="1"/>
  </cols>
  <sheetData>
    <row r="4" spans="1:7" x14ac:dyDescent="0.3">
      <c r="A4" s="4" t="s">
        <v>1564</v>
      </c>
      <c r="B4" t="s">
        <v>1555</v>
      </c>
      <c r="C4" s="7"/>
    </row>
    <row r="5" spans="1:7" x14ac:dyDescent="0.3">
      <c r="A5" s="5" t="s">
        <v>161</v>
      </c>
      <c r="B5" s="1">
        <v>12</v>
      </c>
      <c r="C5" s="7"/>
    </row>
    <row r="6" spans="1:7" x14ac:dyDescent="0.3">
      <c r="A6" s="5" t="s">
        <v>60</v>
      </c>
      <c r="B6" s="1">
        <v>133</v>
      </c>
      <c r="C6" s="7"/>
    </row>
    <row r="7" spans="1:7" x14ac:dyDescent="0.3">
      <c r="A7" s="5" t="s">
        <v>48</v>
      </c>
      <c r="B7" s="1">
        <v>92</v>
      </c>
      <c r="E7" t="s">
        <v>1570</v>
      </c>
      <c r="F7" t="s">
        <v>1571</v>
      </c>
      <c r="G7" t="s">
        <v>1572</v>
      </c>
    </row>
    <row r="8" spans="1:7" x14ac:dyDescent="0.3">
      <c r="A8" s="5" t="s">
        <v>1565</v>
      </c>
      <c r="B8" s="1">
        <v>237</v>
      </c>
      <c r="E8" t="str">
        <f>A5</f>
        <v>HR</v>
      </c>
      <c r="F8">
        <f>GETPIVOTDATA("CF_attrition count",$A$4,"Department","HR")</f>
        <v>12</v>
      </c>
      <c r="G8" s="7">
        <f>F8/GETPIVOTDATA("CF_attrition count",$A$4)</f>
        <v>5.0632911392405063E-2</v>
      </c>
    </row>
    <row r="9" spans="1:7" x14ac:dyDescent="0.3">
      <c r="E9" t="str">
        <f>A6</f>
        <v>R&amp;D</v>
      </c>
      <c r="F9">
        <f>GETPIVOTDATA("CF_attrition count",$A$4,"Department","R&amp;D")</f>
        <v>133</v>
      </c>
      <c r="G9" s="7">
        <f>F9/GETPIVOTDATA("CF_attrition count",$A$4)</f>
        <v>0.56118143459915615</v>
      </c>
    </row>
    <row r="10" spans="1:7" x14ac:dyDescent="0.3">
      <c r="E10" t="str">
        <f>A7</f>
        <v>Sales</v>
      </c>
      <c r="F10">
        <f>GETPIVOTDATA("CF_attrition count",$A$4,"Department","Sales")</f>
        <v>92</v>
      </c>
      <c r="G10" s="7">
        <f>F10/GETPIVOTDATA("CF_attrition count",$A$4)</f>
        <v>0.3881856540084388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A398-D1DE-0448-907B-7C29D22BCD20}">
  <sheetPr codeName="Sheet8"/>
  <dimension ref="A3:B9"/>
  <sheetViews>
    <sheetView zoomScale="85" zoomScaleNormal="85" workbookViewId="0">
      <selection activeCell="B2" sqref="B2"/>
    </sheetView>
  </sheetViews>
  <sheetFormatPr defaultColWidth="11.19921875" defaultRowHeight="15.6" x14ac:dyDescent="0.3"/>
  <cols>
    <col min="1" max="1" width="12.796875" bestFit="1" customWidth="1"/>
    <col min="2" max="2" width="24.296875" bestFit="1" customWidth="1"/>
    <col min="3" max="3" width="19.19921875" bestFit="1" customWidth="1"/>
  </cols>
  <sheetData>
    <row r="3" spans="1:2" x14ac:dyDescent="0.3">
      <c r="A3" s="4" t="s">
        <v>1564</v>
      </c>
      <c r="B3" t="s">
        <v>1566</v>
      </c>
    </row>
    <row r="4" spans="1:2" ht="18" x14ac:dyDescent="0.35">
      <c r="A4" s="8" t="s">
        <v>69</v>
      </c>
      <c r="B4" s="1">
        <v>554</v>
      </c>
    </row>
    <row r="5" spans="1:2" x14ac:dyDescent="0.3">
      <c r="A5" s="5" t="s">
        <v>46</v>
      </c>
      <c r="B5" s="1">
        <v>505</v>
      </c>
    </row>
    <row r="6" spans="1:2" x14ac:dyDescent="0.3">
      <c r="A6" s="5" t="s">
        <v>58</v>
      </c>
      <c r="B6" s="1">
        <v>245</v>
      </c>
    </row>
    <row r="7" spans="1:2" x14ac:dyDescent="0.3">
      <c r="A7" s="5" t="s">
        <v>92</v>
      </c>
      <c r="B7" s="1">
        <v>97</v>
      </c>
    </row>
    <row r="8" spans="1:2" x14ac:dyDescent="0.3">
      <c r="A8" s="5" t="s">
        <v>75</v>
      </c>
      <c r="B8" s="1">
        <v>69</v>
      </c>
    </row>
    <row r="9" spans="1:2" x14ac:dyDescent="0.3">
      <c r="A9" s="5" t="s">
        <v>1565</v>
      </c>
      <c r="B9" s="1">
        <v>1470</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8A5-E120-C848-B62B-E1A27D8E8D4F}">
  <sheetPr codeName="Sheet9"/>
  <dimension ref="A7:E11"/>
  <sheetViews>
    <sheetView zoomScale="70" zoomScaleNormal="70" workbookViewId="0">
      <selection activeCell="B9" sqref="B9"/>
    </sheetView>
  </sheetViews>
  <sheetFormatPr defaultColWidth="11.19921875" defaultRowHeight="15.6" x14ac:dyDescent="0.3"/>
  <cols>
    <col min="1" max="1" width="13.19921875" bestFit="1" customWidth="1"/>
    <col min="2" max="2" width="24.3984375" bestFit="1" customWidth="1"/>
    <col min="4" max="4" width="12.796875" bestFit="1" customWidth="1"/>
  </cols>
  <sheetData>
    <row r="7" spans="1:5" x14ac:dyDescent="0.3">
      <c r="A7" s="4" t="s">
        <v>1564</v>
      </c>
      <c r="B7" t="s">
        <v>1566</v>
      </c>
      <c r="D7" t="s">
        <v>10</v>
      </c>
      <c r="E7" t="s">
        <v>0</v>
      </c>
    </row>
    <row r="8" spans="1:5" x14ac:dyDescent="0.3">
      <c r="A8" s="5" t="s">
        <v>79</v>
      </c>
      <c r="B8" s="1">
        <v>327</v>
      </c>
      <c r="D8" t="str">
        <f>A8</f>
        <v>Divorced</v>
      </c>
      <c r="E8">
        <f>GETPIVOTDATA("CF_attrition count",$A$7,"Marital Status","Divorced")</f>
        <v>327</v>
      </c>
    </row>
    <row r="9" spans="1:5" x14ac:dyDescent="0.3">
      <c r="A9" s="5" t="s">
        <v>53</v>
      </c>
      <c r="B9" s="1">
        <v>470</v>
      </c>
      <c r="D9" t="str">
        <f>A9</f>
        <v>Single</v>
      </c>
      <c r="E9">
        <f>GETPIVOTDATA("CF_attrition count",$A$7,"Marital Status","Single")</f>
        <v>470</v>
      </c>
    </row>
    <row r="10" spans="1:5" x14ac:dyDescent="0.3">
      <c r="A10" s="5" t="s">
        <v>64</v>
      </c>
      <c r="B10" s="1">
        <v>673</v>
      </c>
      <c r="D10" t="str">
        <f>A10</f>
        <v>Married</v>
      </c>
      <c r="E10">
        <f>GETPIVOTDATA("CF_attrition count",$A$7,"Marital Status","Married")</f>
        <v>673</v>
      </c>
    </row>
    <row r="11" spans="1:5" x14ac:dyDescent="0.3">
      <c r="A11" s="5" t="s">
        <v>1565</v>
      </c>
      <c r="B11" s="1">
        <v>1470</v>
      </c>
    </row>
  </sheetData>
  <sortState xmlns:xlrd2="http://schemas.microsoft.com/office/spreadsheetml/2017/richdata2" ref="D8:E10">
    <sortCondition ref="E8:E10"/>
  </sortState>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DASHBOARD-1</vt:lpstr>
      <vt:lpstr>Data</vt:lpstr>
      <vt:lpstr>kpi</vt:lpstr>
      <vt:lpstr>rating</vt:lpstr>
      <vt:lpstr>employee by gender</vt:lpstr>
      <vt:lpstr>attrition by job role</vt:lpstr>
      <vt:lpstr>education wise attrition</vt:lpstr>
      <vt:lpstr>department wise attrition</vt:lpstr>
      <vt:lpstr>attrition By age group</vt:lpstr>
      <vt:lpstr>attrition by marriage 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Vivek Singh</cp:lastModifiedBy>
  <cp:lastPrinted>2026-04-06T21:38:17Z</cp:lastPrinted>
  <dcterms:created xsi:type="dcterms:W3CDTF">2022-12-29T16:02:46Z</dcterms:created>
  <dcterms:modified xsi:type="dcterms:W3CDTF">2026-04-07T08:37:09Z</dcterms:modified>
</cp:coreProperties>
</file>